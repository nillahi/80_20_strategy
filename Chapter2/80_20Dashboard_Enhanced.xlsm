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aderilahi/Desktop/Innovyce/OKDeal/"/>
    </mc:Choice>
  </mc:AlternateContent>
  <xr:revisionPtr revIDLastSave="0" documentId="13_ncr:1_{FD9E568D-68B0-B34A-8BC2-2513AA83A82D}" xr6:coauthVersionLast="47" xr6:coauthVersionMax="47" xr10:uidLastSave="{00000000-0000-0000-0000-000000000000}"/>
  <bookViews>
    <workbookView xWindow="18360" yWindow="5660" windowWidth="28040" windowHeight="17440" activeTab="4" xr2:uid="{FB51861A-96CE-FA4F-B176-4F4956D9AC45}"/>
  </bookViews>
  <sheets>
    <sheet name="Dashboard" sheetId="1" r:id="rId1"/>
    <sheet name="Income" sheetId="2" r:id="rId2"/>
    <sheet name="Expenses" sheetId="3" r:id="rId3"/>
    <sheet name="Debt" sheetId="4" r:id="rId4"/>
    <sheet name="Assets" sheetId="5" r:id="rId5"/>
    <sheet name="Financial Independence" sheetId="6" r:id="rId6"/>
    <sheet name="Implementation Plan" sheetId="7" r:id="rId7"/>
  </sheets>
  <definedNames>
    <definedName name="Assets_Total">Assets!$B$24</definedName>
    <definedName name="Debt_Payments_Monthly">Debt!$E$17</definedName>
    <definedName name="Expenses_Monthly">Expenses!$D$40</definedName>
    <definedName name="Income_Monthly">Income!$D$17</definedName>
    <definedName name="Liabilities_Total">Debt!$B$16</definedName>
    <definedName name="_xlnm.Print_Area" localSheetId="4">Assets!$A$1:$F$33</definedName>
    <definedName name="_xlnm.Print_Area" localSheetId="0">Dashboard!$A$1:$F$40</definedName>
    <definedName name="_xlnm.Print_Area" localSheetId="3">Debt!$A$1:$G$24</definedName>
    <definedName name="_xlnm.Print_Area" localSheetId="2">Expenses!$A$1:$E$48</definedName>
    <definedName name="_xlnm.Print_Area" localSheetId="5">'Financial Independence'!$A$1:$E$34</definedName>
    <definedName name="_xlnm.Print_Area" localSheetId="6">'Implementation Plan'!$A$1:$E$40</definedName>
    <definedName name="_xlnm.Print_Area" localSheetId="1">Income!$A$1:$E$23</definedName>
    <definedName name="Savings_Monthly">Expenses!$D$42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10" i="6"/>
  <c r="B6" i="6"/>
  <c r="B27" i="6" s="1"/>
  <c r="B27" i="5"/>
  <c r="B26" i="5"/>
  <c r="B24" i="5"/>
  <c r="B9" i="6" s="1"/>
  <c r="E17" i="4"/>
  <c r="B16" i="4"/>
  <c r="F14" i="4"/>
  <c r="F13" i="4"/>
  <c r="F12" i="4"/>
  <c r="F11" i="4"/>
  <c r="F10" i="4"/>
  <c r="F9" i="4"/>
  <c r="F8" i="4"/>
  <c r="F7" i="4"/>
  <c r="F6" i="4"/>
  <c r="F5" i="4"/>
  <c r="D42" i="3"/>
  <c r="D40" i="3"/>
  <c r="D38" i="3"/>
  <c r="D37" i="3"/>
  <c r="D36" i="3"/>
  <c r="D35" i="3"/>
  <c r="D33" i="3"/>
  <c r="D32" i="3"/>
  <c r="D31" i="3"/>
  <c r="D30" i="3"/>
  <c r="D28" i="3"/>
  <c r="D27" i="3"/>
  <c r="D26" i="3"/>
  <c r="D25" i="3"/>
  <c r="D24" i="3"/>
  <c r="D22" i="3"/>
  <c r="D21" i="3"/>
  <c r="D20" i="3"/>
  <c r="D18" i="3"/>
  <c r="D17" i="3"/>
  <c r="D16" i="3"/>
  <c r="D15" i="3"/>
  <c r="D14" i="3"/>
  <c r="D13" i="3"/>
  <c r="D11" i="3"/>
  <c r="D10" i="3"/>
  <c r="D9" i="3"/>
  <c r="D8" i="3"/>
  <c r="D7" i="3"/>
  <c r="D6" i="3"/>
  <c r="D15" i="2"/>
  <c r="D14" i="2"/>
  <c r="D13" i="2"/>
  <c r="D12" i="2"/>
  <c r="D11" i="2"/>
  <c r="D10" i="2"/>
  <c r="D9" i="2"/>
  <c r="D8" i="2"/>
  <c r="D7" i="2"/>
  <c r="D6" i="2"/>
  <c r="D5" i="2"/>
  <c r="I4" i="1"/>
  <c r="D13" i="1"/>
  <c r="D12" i="1"/>
  <c r="D7" i="1" l="1"/>
  <c r="D14" i="1"/>
  <c r="B28" i="6"/>
  <c r="D17" i="2"/>
  <c r="E36" i="3" s="1"/>
  <c r="E31" i="3"/>
  <c r="E32" i="3"/>
  <c r="E14" i="3"/>
  <c r="E24" i="3"/>
  <c r="E10" i="3"/>
  <c r="E20" i="3"/>
  <c r="E7" i="3"/>
  <c r="E11" i="3"/>
  <c r="E16" i="3"/>
  <c r="E21" i="3"/>
  <c r="E26" i="3"/>
  <c r="E8" i="3"/>
  <c r="E13" i="3"/>
  <c r="E17" i="3"/>
  <c r="E22" i="3"/>
  <c r="E27" i="3"/>
  <c r="E37" i="3"/>
  <c r="E18" i="3"/>
  <c r="E28" i="3"/>
  <c r="E33" i="3"/>
  <c r="E38" i="3"/>
  <c r="E9" i="3"/>
  <c r="E6" i="3"/>
  <c r="E15" i="3"/>
  <c r="E25" i="3"/>
  <c r="E35" i="3"/>
  <c r="E30" i="3"/>
  <c r="B16" i="6"/>
  <c r="B18" i="6" s="1"/>
  <c r="B23" i="6"/>
  <c r="B17" i="6"/>
  <c r="I5" i="1"/>
  <c r="D10" i="1"/>
  <c r="D11" i="1"/>
  <c r="B22" i="1" s="1"/>
  <c r="D8" i="1"/>
  <c r="D9" i="1"/>
  <c r="I3" i="1"/>
  <c r="B24" i="6" l="1"/>
  <c r="D7" i="7"/>
  <c r="D5" i="7"/>
  <c r="D13" i="7"/>
  <c r="D6" i="7"/>
  <c r="B20" i="1"/>
  <c r="D11" i="7"/>
  <c r="D12" i="7"/>
  <c r="B21" i="1"/>
</calcChain>
</file>

<file path=xl/sharedStrings.xml><?xml version="1.0" encoding="utf-8"?>
<sst xmlns="http://schemas.openxmlformats.org/spreadsheetml/2006/main" count="220" uniqueCount="186">
  <si>
    <t>THE 80/20 MONEY SYSTEM: FINANCIAL REALITY TEMPLATE</t>
  </si>
  <si>
    <t>? Create your Control Dashboard (Chapter 2)</t>
  </si>
  <si>
    <t>MONTHLY INCOME</t>
  </si>
  <si>
    <t>Income Source</t>
  </si>
  <si>
    <t>Amount</t>
  </si>
  <si>
    <t>Frequency</t>
  </si>
  <si>
    <t>Monthly Equivalent</t>
  </si>
  <si>
    <t>Primary Job (after tax)</t>
  </si>
  <si>
    <t>Secondary Job/Side Hustle</t>
  </si>
  <si>
    <t>Spouse/Partner Income</t>
  </si>
  <si>
    <t>Rental Income</t>
  </si>
  <si>
    <t>Investment Income</t>
  </si>
  <si>
    <t>Other Regular Income</t>
  </si>
  <si>
    <t>TOTAL MONTHLY INCOME:</t>
  </si>
  <si>
    <t>MONTHLY EXPENSES</t>
  </si>
  <si>
    <t>% of Income</t>
  </si>
  <si>
    <t>HOUSING</t>
  </si>
  <si>
    <t>TRANSPORTATION</t>
  </si>
  <si>
    <t>FOOD</t>
  </si>
  <si>
    <t>SAVINGS</t>
  </si>
  <si>
    <t>OTHER</t>
  </si>
  <si>
    <t>TOTAL MONTHLY EXPENSES:</t>
  </si>
  <si>
    <t>TOTAL SAVINGS:</t>
  </si>
  <si>
    <t>DEBT INVENTORY</t>
  </si>
  <si>
    <t>Debt Type</t>
  </si>
  <si>
    <t>Current Balance</t>
  </si>
  <si>
    <t>Interest Rate</t>
  </si>
  <si>
    <t>Minimum Payment</t>
  </si>
  <si>
    <t>Credit Card 1</t>
  </si>
  <si>
    <t>Credit Card 2</t>
  </si>
  <si>
    <t>Auto Loan</t>
  </si>
  <si>
    <t>Mortgage</t>
  </si>
  <si>
    <t>Personal Loan</t>
  </si>
  <si>
    <t>Medical Debt</t>
  </si>
  <si>
    <t>TOTAL DEBT:</t>
  </si>
  <si>
    <t>TOTAL MONTHLY DEBT PAYMENTS:</t>
  </si>
  <si>
    <t>ASSETS INVENTORY</t>
  </si>
  <si>
    <t>Asset Type</t>
  </si>
  <si>
    <t>Current Value</t>
  </si>
  <si>
    <t>Notes</t>
  </si>
  <si>
    <t>CASH ASSETS</t>
  </si>
  <si>
    <t>INVESTMENT ASSETS</t>
  </si>
  <si>
    <t>PHYSICAL ASSETS</t>
  </si>
  <si>
    <t>TOTAL ASSETS:</t>
  </si>
  <si>
    <t>Financial Command Center</t>
  </si>
  <si>
    <t>FINANCIAL SNAPSHOT</t>
  </si>
  <si>
    <t>KEY METRICS</t>
  </si>
  <si>
    <t>CURRENT VALUES</t>
  </si>
  <si>
    <t>Net Worth</t>
  </si>
  <si>
    <t>Monthly Cash Flow</t>
  </si>
  <si>
    <t>Debt-to-Income Ratio</t>
  </si>
  <si>
    <t>Savings Rate</t>
  </si>
  <si>
    <t>Monthly Income</t>
  </si>
  <si>
    <t>Monthly Expenses</t>
  </si>
  <si>
    <t>Total Debt</t>
  </si>
  <si>
    <t>Total Assets</t>
  </si>
  <si>
    <t>YOUR 80/20 FOCUS AREAS</t>
  </si>
  <si>
    <t>? Complete Financial Reality Template (current step)</t>
  </si>
  <si>
    <t>? Schedule 90-minute implementation session within 72 hours</t>
  </si>
  <si>
    <t>QUICK NAVIGATION</t>
  </si>
  <si>
    <t>Income</t>
  </si>
  <si>
    <t>Expenses</t>
  </si>
  <si>
    <t>Debt</t>
  </si>
  <si>
    <t>Assets</t>
  </si>
  <si>
    <t>Financial Independence</t>
  </si>
  <si>
    <t>Implementation Plan</t>
  </si>
  <si>
    <t>© 80/20 Money System - For Your Financial Freedom Journey</t>
  </si>
  <si>
    <t>Category</t>
  </si>
  <si>
    <t>Savings</t>
  </si>
  <si>
    <t>« Back to Dashboard</t>
  </si>
  <si>
    <t>Business Profits</t>
  </si>
  <si>
    <t>INCOME OPTIMIZATION TIPS</t>
  </si>
  <si>
    <t>• Focus on increasing your primary income through strategic value enhancement</t>
  </si>
  <si>
    <t>• Develop at least one side income stream aligned with your skills and interests</t>
  </si>
  <si>
    <t>• Use the Multiple Income Engine (Chapter 9) to create additional income streams</t>
  </si>
  <si>
    <t>Expense</t>
  </si>
  <si>
    <t>Mortgage/Rent</t>
  </si>
  <si>
    <t>Property Tax</t>
  </si>
  <si>
    <t>Home Insurance</t>
  </si>
  <si>
    <t>Utilities</t>
  </si>
  <si>
    <t>Maintenance</t>
  </si>
  <si>
    <t>Car Payment</t>
  </si>
  <si>
    <t>Auto Insurance</t>
  </si>
  <si>
    <t>Fuel</t>
  </si>
  <si>
    <t>Public Transit</t>
  </si>
  <si>
    <t>Groceries</t>
  </si>
  <si>
    <t>Dining Out</t>
  </si>
  <si>
    <t>PERSONAL</t>
  </si>
  <si>
    <t>Cell Phone</t>
  </si>
  <si>
    <t>Internet</t>
  </si>
  <si>
    <t>Subscriptions</t>
  </si>
  <si>
    <t>Personal Care</t>
  </si>
  <si>
    <t>Emergency Fund</t>
  </si>
  <si>
    <t>Retirement</t>
  </si>
  <si>
    <t>Other Savings Goals</t>
  </si>
  <si>
    <t>Entertainment</t>
  </si>
  <si>
    <t>Gifts</t>
  </si>
  <si>
    <t>Medical</t>
  </si>
  <si>
    <t>Miscellaneous</t>
  </si>
  <si>
    <t>EXPENSE OPTIMIZATION TIPS</t>
  </si>
  <si>
    <t>• Focus on optimizing your housing and transportation costs for maximum impact</t>
  </si>
  <si>
    <t>• Use the Cash Flow Amplifier System (Chapter 6) to find $500-1000+ in monthly savings</t>
  </si>
  <si>
    <t>• Target a savings rate of at least 15-20% for long-term financial success</t>
  </si>
  <si>
    <t>Monthly Payment</t>
  </si>
  <si>
    <t>Payoff Date</t>
  </si>
  <si>
    <t>Student Loan 1</t>
  </si>
  <si>
    <t>Student Loan 2</t>
  </si>
  <si>
    <t>Family Loan</t>
  </si>
  <si>
    <t>Other Debt</t>
  </si>
  <si>
    <t>HYBRID DEBT ELIMINATION STRATEGY</t>
  </si>
  <si>
    <t>The 80/20 Hybrid Strategy combines the psychological wins of the debt snowball with the mathematical efficiency of the debt avalanche.</t>
  </si>
  <si>
    <t>1. Pay the minimum on all debts while focusing extra payments on your target debt</t>
  </si>
  <si>
    <t>2. Use the Cash Flow Amplifier (Chapter 6) to increase your monthly debt payment capacity</t>
  </si>
  <si>
    <t>3. Apply the Strategic Negotiation Protocol (Chapter 5) to reduce interest rates and balances</t>
  </si>
  <si>
    <t>Monthly Contribution</t>
  </si>
  <si>
    <t>Annual Growth Rate</t>
  </si>
  <si>
    <t>Liquid/Illiquid</t>
  </si>
  <si>
    <t>Checking Accounts</t>
  </si>
  <si>
    <t>Savings Accounts</t>
  </si>
  <si>
    <t>Cash on Hand</t>
  </si>
  <si>
    <t>Retirement Accounts (401k, IRA)</t>
  </si>
  <si>
    <t>Brokerage Accounts</t>
  </si>
  <si>
    <t>Education Savings</t>
  </si>
  <si>
    <t>Crypto/Alternative Investments</t>
  </si>
  <si>
    <t>Primary Home</t>
  </si>
  <si>
    <t>Investment Properties</t>
  </si>
  <si>
    <t>Vehicles</t>
  </si>
  <si>
    <t>Valuable Collections</t>
  </si>
  <si>
    <t>Business Ownership</t>
  </si>
  <si>
    <t>Liquid</t>
  </si>
  <si>
    <t>Illiquid</t>
  </si>
  <si>
    <t>LIQUID ASSETS:</t>
  </si>
  <si>
    <t>ILLIQUID ASSETS:</t>
  </si>
  <si>
    <t>WEALTH BUILDING TIPS</t>
  </si>
  <si>
    <t>• Aim to build liquid assets equal to 3-6 months of expenses for emergency funds</t>
  </si>
  <si>
    <t>• Use the Wealth Acceleration Blueprint (Chapter 8) to dramatically increase your asset growth</t>
  </si>
  <si>
    <t>• Maintain at least 20% of your assets in liquid form for financial flexibility</t>
  </si>
  <si>
    <t>FINANCIAL INDEPENDENCE CALCULATOR</t>
  </si>
  <si>
    <t>INPUTS</t>
  </si>
  <si>
    <t>Current Monthly Expenses</t>
  </si>
  <si>
    <t>Expected Expense Changes in Retirement (%)</t>
  </si>
  <si>
    <t>Annual Withdrawal Rate</t>
  </si>
  <si>
    <t>Current Investment Assets</t>
  </si>
  <si>
    <t>Monthly Investment Contribution</t>
  </si>
  <si>
    <t>Expected Annual Return Rate</t>
  </si>
  <si>
    <t>Inflation Rate</t>
  </si>
  <si>
    <t>RESULTS</t>
  </si>
  <si>
    <t>Target Financial Independence Number</t>
  </si>
  <si>
    <t>Years to Financial Independence</t>
  </si>
  <si>
    <t>Monthly Passive Income at FI</t>
  </si>
  <si>
    <t>WHAT-IF SCENARIOS</t>
  </si>
  <si>
    <t>If you increased your savings by:</t>
  </si>
  <si>
    <t>$250/month</t>
  </si>
  <si>
    <t>New Time to FI:</t>
  </si>
  <si>
    <t>Years saved:</t>
  </si>
  <si>
    <t>If you reduced expenses by:</t>
  </si>
  <si>
    <t>$200/month</t>
  </si>
  <si>
    <t>New FI number:</t>
  </si>
  <si>
    <t>FINANCIAL INDEPENDENCE STRATEGIES</t>
  </si>
  <si>
    <t>• Increasing your savings rate is the most powerful lever for accelerating financial independence</t>
  </si>
  <si>
    <t>• Reducing expenses has a double benefit: less needed to save and lower FI target number</t>
  </si>
  <si>
    <t>• Use the Wealth Acceleration Blueprint (Chapter 8) to dramatically speed up your timeline</t>
  </si>
  <si>
    <t>YOUR 80/20 IMPLEMENTATION PLAN</t>
  </si>
  <si>
    <t>PHASE 1: FINANCIAL CONTROL</t>
  </si>
  <si>
    <t>? Set up your Hub-and-Spoke Account Structure (Chapter 3)</t>
  </si>
  <si>
    <t>? Implement your Automation Infrastructure (Chapter 3)</t>
  </si>
  <si>
    <t>? Set up your Anti-Budget System (Chapter 4)</t>
  </si>
  <si>
    <t>Standard</t>
  </si>
  <si>
    <t>? Create your Strategic Debt Inventory (Chapter 5)</t>
  </si>
  <si>
    <t>? Implement your Hybrid Debt Elimination Strategy (Chapter 5)</t>
  </si>
  <si>
    <t>? Set up your Cash Flow Amplifier System (Chapter 6)</t>
  </si>
  <si>
    <t>PHASE 3: WEALTH BUILDING &amp; LIFE INTEGRATION</t>
  </si>
  <si>
    <t>IMPLEMENTATION SCHEDULE</t>
  </si>
  <si>
    <t>Week 1: Complete Control Dashboard &amp; Account Structure</t>
  </si>
  <si>
    <t>? Block 90 minutes on: ___/___/___</t>
  </si>
  <si>
    <t>Week 2: Implement Automation Infrastructure</t>
  </si>
  <si>
    <t>Week 3: Set up Anti-Budget System</t>
  </si>
  <si>
    <t>Week 4: Implement Debt Elimination Strategy</t>
  </si>
  <si>
    <t>IMPLEMENTATION TIPS</t>
  </si>
  <si>
    <t>• Focus on your high priority items first based on your financial reality</t>
  </si>
  <si>
    <t>• Schedule implementation sessions on your calendar to ensure they happen</t>
  </si>
  <si>
    <t>• Complete each chapter's action steps before moving to the next chapter</t>
  </si>
  <si>
    <t>PHASE 2: DEBT ELIMINATION &amp; CASH FLOW MAXIMIZATION</t>
  </si>
  <si>
    <t>? Create your Wealth Acceleration Blueprint (Chapter 7)</t>
  </si>
  <si>
    <t>? Implement your Lifestyle Integration System (Chapter 8)</t>
  </si>
  <si>
    <t>Monthly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</si>
</sst>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.00;[Red]\(&quot;€&quot;#,##0.00\)"/>
    <numFmt numFmtId="165" formatCode="0.0%"/>
    <numFmt numFmtId="166" formatCode="&quot;€&quot;#,##0.00"/>
    <numFmt numFmtId="167" formatCode="mm/dd/yyyy"/>
    <numFmt numFmtId="168" formatCode="0.0\ &quot;years&quot;"/>
  </numFmts>
  <fonts count="11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6"/>
      <color rgb="FFFFFFFF"/>
      <name val="Calibri"/>
      <family val="2"/>
    </font>
    <font>
      <sz val="12"/>
      <color theme="1"/>
      <name val="Calibri"/>
      <family val="2"/>
    </font>
    <font>
      <b/>
      <sz val="12"/>
      <color rgb="FFFFFFFF"/>
      <name val="Calibri"/>
      <family val="2"/>
    </font>
    <font>
      <sz val="12"/>
      <color indexed="9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u/>
      <sz val="12"/>
      <color theme="10"/>
      <name val="Calibri"/>
      <family val="2"/>
    </font>
    <font>
      <i/>
      <sz val="12"/>
      <color theme="1"/>
      <name val="Calibri"/>
      <family val="2"/>
    </font>
    <font>
      <b/>
      <sz val="14"/>
      <color rgb="FFFFFFFF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0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4" fillId="3" borderId="0" xfId="0" applyFont="1" applyFill="1" applyAlignment="1">
      <alignment horizontal="center"/>
    </xf>
    <xf numFmtId="0" fontId="5" fillId="0" borderId="0" xfId="0" applyFont="1"/>
    <xf numFmtId="0" fontId="6" fillId="4" borderId="0" xfId="0" applyFont="1" applyFill="1"/>
    <xf numFmtId="0" fontId="3" fillId="4" borderId="0" xfId="0" applyFont="1" applyFill="1"/>
    <xf numFmtId="0" fontId="7" fillId="4" borderId="2" xfId="0" applyFont="1" applyFill="1" applyBorder="1"/>
    <xf numFmtId="0" fontId="7" fillId="4" borderId="3" xfId="0" applyFont="1" applyFill="1" applyBorder="1"/>
    <xf numFmtId="0" fontId="3" fillId="0" borderId="2" xfId="0" applyFont="1" applyBorder="1"/>
    <xf numFmtId="0" fontId="3" fillId="0" borderId="3" xfId="0" applyFont="1" applyBorder="1"/>
    <xf numFmtId="164" fontId="3" fillId="0" borderId="2" xfId="0" applyNumberFormat="1" applyFont="1" applyBorder="1"/>
    <xf numFmtId="165" fontId="3" fillId="0" borderId="2" xfId="0" applyNumberFormat="1" applyFont="1" applyBorder="1"/>
    <xf numFmtId="166" fontId="3" fillId="0" borderId="2" xfId="0" applyNumberFormat="1" applyFont="1" applyBorder="1"/>
    <xf numFmtId="0" fontId="3" fillId="0" borderId="1" xfId="0" applyFont="1" applyBorder="1"/>
    <xf numFmtId="0" fontId="3" fillId="0" borderId="4" xfId="0" applyFont="1" applyBorder="1"/>
    <xf numFmtId="0" fontId="8" fillId="5" borderId="1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6" borderId="1" xfId="1" applyFont="1" applyFill="1" applyBorder="1" applyAlignment="1">
      <alignment horizontal="center" vertical="center"/>
    </xf>
    <xf numFmtId="0" fontId="8" fillId="7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 vertical="center"/>
    </xf>
    <xf numFmtId="0" fontId="8" fillId="9" borderId="1" xfId="1" applyFont="1" applyFill="1" applyBorder="1" applyAlignment="1">
      <alignment horizontal="center" vertical="center"/>
    </xf>
    <xf numFmtId="0" fontId="8" fillId="10" borderId="1" xfId="1" applyFont="1" applyFill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0" fillId="5" borderId="0" xfId="0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3" fillId="0" borderId="0" xfId="0" applyFont="1" applyProtection="1"/>
    <xf numFmtId="0" fontId="8" fillId="0" borderId="0" xfId="1" applyFont="1" applyProtection="1"/>
    <xf numFmtId="0" fontId="7" fillId="4" borderId="5" xfId="0" applyFont="1" applyFill="1" applyBorder="1" applyProtection="1"/>
    <xf numFmtId="0" fontId="3" fillId="12" borderId="5" xfId="0" applyFont="1" applyFill="1" applyBorder="1" applyProtection="1"/>
    <xf numFmtId="166" fontId="3" fillId="12" borderId="5" xfId="0" applyNumberFormat="1" applyFont="1" applyFill="1" applyBorder="1" applyProtection="1"/>
    <xf numFmtId="0" fontId="3" fillId="11" borderId="5" xfId="0" applyFont="1" applyFill="1" applyBorder="1" applyProtection="1"/>
    <xf numFmtId="166" fontId="3" fillId="11" borderId="5" xfId="0" applyNumberFormat="1" applyFont="1" applyFill="1" applyBorder="1" applyProtection="1"/>
    <xf numFmtId="0" fontId="3" fillId="0" borderId="5" xfId="0" applyFont="1" applyBorder="1" applyProtection="1"/>
    <xf numFmtId="0" fontId="7" fillId="0" borderId="1" xfId="0" applyFont="1" applyBorder="1" applyProtection="1"/>
    <xf numFmtId="0" fontId="3" fillId="0" borderId="1" xfId="0" applyFont="1" applyBorder="1" applyProtection="1"/>
    <xf numFmtId="166" fontId="7" fillId="4" borderId="1" xfId="0" applyNumberFormat="1" applyFont="1" applyFill="1" applyBorder="1" applyProtection="1"/>
    <xf numFmtId="0" fontId="7" fillId="4" borderId="0" xfId="0" applyFont="1" applyFill="1" applyProtection="1"/>
    <xf numFmtId="0" fontId="3" fillId="0" borderId="0" xfId="0" applyFont="1" applyProtection="1"/>
    <xf numFmtId="0" fontId="3" fillId="12" borderId="5" xfId="0" applyFont="1" applyFill="1" applyBorder="1" applyProtection="1">
      <protection locked="0"/>
    </xf>
    <xf numFmtId="166" fontId="3" fillId="12" borderId="5" xfId="0" applyNumberFormat="1" applyFont="1" applyFill="1" applyBorder="1" applyProtection="1">
      <protection locked="0"/>
    </xf>
    <xf numFmtId="0" fontId="3" fillId="11" borderId="5" xfId="0" applyFont="1" applyFill="1" applyBorder="1" applyProtection="1">
      <protection locked="0"/>
    </xf>
    <xf numFmtId="166" fontId="3" fillId="11" borderId="5" xfId="0" applyNumberFormat="1" applyFont="1" applyFill="1" applyBorder="1" applyProtection="1">
      <protection locked="0"/>
    </xf>
    <xf numFmtId="0" fontId="10" fillId="6" borderId="0" xfId="0" applyFont="1" applyFill="1" applyAlignment="1" applyProtection="1">
      <alignment horizontal="center"/>
    </xf>
    <xf numFmtId="166" fontId="3" fillId="0" borderId="5" xfId="0" applyNumberFormat="1" applyFont="1" applyBorder="1" applyProtection="1"/>
    <xf numFmtId="0" fontId="7" fillId="0" borderId="5" xfId="0" applyFont="1" applyBorder="1" applyProtection="1"/>
    <xf numFmtId="166" fontId="7" fillId="4" borderId="5" xfId="0" applyNumberFormat="1" applyFont="1" applyFill="1" applyBorder="1" applyProtection="1"/>
    <xf numFmtId="0" fontId="7" fillId="4" borderId="5" xfId="0" applyFont="1" applyFill="1" applyBorder="1" applyProtection="1"/>
    <xf numFmtId="0" fontId="3" fillId="0" borderId="5" xfId="0" applyFont="1" applyBorder="1" applyProtection="1"/>
    <xf numFmtId="0" fontId="3" fillId="11" borderId="5" xfId="0" applyFont="1" applyFill="1" applyBorder="1" applyProtection="1"/>
    <xf numFmtId="0" fontId="3" fillId="12" borderId="5" xfId="0" applyFont="1" applyFill="1" applyBorder="1" applyProtection="1"/>
    <xf numFmtId="166" fontId="3" fillId="0" borderId="5" xfId="0" applyNumberFormat="1" applyFont="1" applyBorder="1" applyProtection="1">
      <protection locked="0"/>
    </xf>
    <xf numFmtId="0" fontId="3" fillId="0" borderId="5" xfId="0" applyFont="1" applyBorder="1" applyProtection="1">
      <protection locked="0"/>
    </xf>
    <xf numFmtId="165" fontId="3" fillId="12" borderId="5" xfId="0" applyNumberFormat="1" applyFont="1" applyFill="1" applyBorder="1" applyProtection="1">
      <protection locked="0"/>
    </xf>
    <xf numFmtId="165" fontId="3" fillId="11" borderId="5" xfId="0" applyNumberFormat="1" applyFont="1" applyFill="1" applyBorder="1" applyProtection="1">
      <protection locked="0"/>
    </xf>
    <xf numFmtId="165" fontId="3" fillId="0" borderId="5" xfId="0" applyNumberFormat="1" applyFont="1" applyBorder="1" applyProtection="1">
      <protection locked="0"/>
    </xf>
    <xf numFmtId="0" fontId="10" fillId="7" borderId="0" xfId="0" applyFont="1" applyFill="1" applyAlignment="1" applyProtection="1">
      <alignment horizontal="center"/>
    </xf>
    <xf numFmtId="167" fontId="3" fillId="12" borderId="5" xfId="0" applyNumberFormat="1" applyFont="1" applyFill="1" applyBorder="1" applyProtection="1"/>
    <xf numFmtId="167" fontId="3" fillId="11" borderId="5" xfId="0" applyNumberFormat="1" applyFont="1" applyFill="1" applyBorder="1" applyProtection="1"/>
    <xf numFmtId="0" fontId="10" fillId="8" borderId="0" xfId="0" applyFont="1" applyFill="1" applyAlignment="1" applyProtection="1">
      <alignment horizontal="center"/>
    </xf>
    <xf numFmtId="0" fontId="10" fillId="9" borderId="0" xfId="0" applyFont="1" applyFill="1" applyAlignment="1" applyProtection="1">
      <alignment horizontal="center"/>
    </xf>
    <xf numFmtId="0" fontId="3" fillId="0" borderId="5" xfId="0" applyFont="1" applyFill="1" applyBorder="1" applyProtection="1"/>
    <xf numFmtId="166" fontId="3" fillId="0" borderId="5" xfId="0" applyNumberFormat="1" applyFont="1" applyFill="1" applyBorder="1" applyProtection="1"/>
    <xf numFmtId="168" fontId="3" fillId="0" borderId="5" xfId="0" applyNumberFormat="1" applyFont="1" applyFill="1" applyBorder="1" applyProtection="1"/>
    <xf numFmtId="9" fontId="3" fillId="0" borderId="5" xfId="0" applyNumberFormat="1" applyFont="1" applyFill="1" applyBorder="1" applyProtection="1">
      <protection locked="0"/>
    </xf>
    <xf numFmtId="165" fontId="3" fillId="0" borderId="5" xfId="0" applyNumberFormat="1" applyFont="1" applyFill="1" applyBorder="1" applyProtection="1">
      <protection locked="0"/>
    </xf>
    <xf numFmtId="166" fontId="3" fillId="0" borderId="5" xfId="0" applyNumberFormat="1" applyFont="1" applyFill="1" applyBorder="1" applyProtection="1">
      <protection locked="0"/>
    </xf>
    <xf numFmtId="0" fontId="10" fillId="10" borderId="0" xfId="0" applyFont="1" applyFill="1" applyAlignment="1" applyProtection="1">
      <alignment horizontal="center"/>
    </xf>
    <xf numFmtId="0" fontId="3" fillId="0" borderId="0" xfId="0" applyFont="1" applyProtection="1">
      <protection locked="0"/>
    </xf>
  </cellXfs>
  <cellStyles count="2">
    <cellStyle name="Hyperlink" xfId="1" builtinId="8"/>
    <cellStyle name="Normal" xfId="0" builtinId="0"/>
  </cellStyles>
  <dxfs count="75"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2DCDB"/>
        </patternFill>
      </fill>
    </dxf>
    <dxf>
      <fill>
        <patternFill>
          <bgColor rgb="FFE2EFDA"/>
        </patternFill>
      </fill>
    </dxf>
    <dxf>
      <fill>
        <patternFill>
          <bgColor rgb="FFF2DCDB"/>
        </patternFill>
      </fill>
    </dxf>
    <dxf>
      <fill>
        <patternFill>
          <bgColor rgb="FFE2EFDA"/>
        </patternFill>
      </fill>
    </dxf>
    <dxf>
      <fill>
        <patternFill>
          <bgColor rgb="FFF2DCDB"/>
        </patternFill>
      </fill>
    </dxf>
    <dxf>
      <fill>
        <patternFill>
          <bgColor rgb="FFE2EFDA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Monthly Income vs Expenses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Dashboard!$I$2</c:f>
              <c:strCache>
                <c:ptCount val="1"/>
                <c:pt idx="0">
                  <c:v>Amount</c:v>
                </c:pt>
              </c:strCache>
            </c:strRef>
          </c:tx>
          <c:invertIfNegative val="0"/>
          <c:cat>
            <c:strRef>
              <c:f>Dashboard!$H$3:$H$4</c:f>
              <c:strCache>
                <c:ptCount val="2"/>
                <c:pt idx="0">
                  <c:v>Income</c:v>
                </c:pt>
                <c:pt idx="1">
                  <c:v>Expenses</c:v>
                </c:pt>
              </c:strCache>
            </c:strRef>
          </c:cat>
          <c:val>
            <c:numRef>
              <c:f>Dashboard!$I$3:$I$4</c:f>
              <c:numCache>
                <c:formatCode>General</c:formatCode>
                <c:ptCount val="2"/>
                <c:pt idx="0">
                  <c:v>5880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1C-8544-98DB-E2C70B0B6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3090720"/>
        <c:axId val="1038237408"/>
      </c:barChart>
      <c:catAx>
        <c:axId val="1309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38237408"/>
        <c:crosses val="autoZero"/>
        <c:auto val="1"/>
        <c:lblAlgn val="ctr"/>
        <c:lblOffset val="100"/>
        <c:noMultiLvlLbl val="0"/>
      </c:catAx>
      <c:valAx>
        <c:axId val="103823740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12700">
            <a:noFill/>
          </a:ln>
        </c:spPr>
        <c:crossAx val="1309072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7</xdr:row>
      <xdr:rowOff>114300</xdr:rowOff>
    </xdr:from>
    <xdr:to>
      <xdr:col>10</xdr:col>
      <xdr:colOff>736600</xdr:colOff>
      <xdr:row>19</xdr:row>
      <xdr:rowOff>177800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E5A1742-CFDF-1B6F-6FCD-26C4E5D1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3B91F-C6FA-E84C-AB60-5AF9BE684303}">
  <sheetPr codeName="Sheet1">
    <tabColor rgb="FF0070C0"/>
  </sheetPr>
  <dimension ref="A1:I40"/>
  <sheetViews>
    <sheetView workbookViewId="0">
      <selection activeCell="H28" sqref="H28"/>
    </sheetView>
  </sheetViews>
  <sheetFormatPr baseColWidth="10" defaultRowHeight="16" x14ac:dyDescent="0.2"/>
  <cols>
    <col min="1" max="1" width="27.6640625" style="3" bestFit="1" customWidth="1"/>
    <col min="2" max="2" width="22.1640625" style="3" bestFit="1" customWidth="1"/>
    <col min="3" max="3" width="9.33203125" style="3" bestFit="1" customWidth="1"/>
    <col min="4" max="4" width="10.83203125" style="3"/>
    <col min="5" max="5" width="26" style="3" customWidth="1"/>
    <col min="6" max="16384" width="10.83203125" style="3"/>
  </cols>
  <sheetData>
    <row r="1" spans="1:9" ht="21" x14ac:dyDescent="0.25">
      <c r="A1" s="1" t="s">
        <v>0</v>
      </c>
      <c r="B1" s="2"/>
      <c r="C1" s="2"/>
      <c r="D1" s="2"/>
      <c r="E1" s="2"/>
      <c r="F1" s="2"/>
    </row>
    <row r="2" spans="1:9" x14ac:dyDescent="0.2">
      <c r="A2" s="4" t="s">
        <v>44</v>
      </c>
      <c r="B2" s="2"/>
      <c r="C2" s="2"/>
      <c r="D2" s="2"/>
      <c r="E2" s="2"/>
      <c r="F2" s="2"/>
      <c r="H2" s="5" t="s">
        <v>67</v>
      </c>
      <c r="I2" s="5" t="s">
        <v>4</v>
      </c>
    </row>
    <row r="3" spans="1:9" x14ac:dyDescent="0.2">
      <c r="H3" s="5" t="s">
        <v>60</v>
      </c>
      <c r="I3" s="5">
        <f>Income_Monthly</f>
        <v>5880</v>
      </c>
    </row>
    <row r="4" spans="1:9" ht="19" x14ac:dyDescent="0.25">
      <c r="A4" s="6" t="s">
        <v>45</v>
      </c>
      <c r="B4" s="7"/>
      <c r="C4" s="7"/>
      <c r="D4" s="7"/>
      <c r="E4" s="7"/>
      <c r="F4" s="7"/>
      <c r="H4" s="5" t="s">
        <v>61</v>
      </c>
      <c r="I4" s="5">
        <f>Expenses_Monthly</f>
        <v>0</v>
      </c>
    </row>
    <row r="5" spans="1:9" x14ac:dyDescent="0.2">
      <c r="H5" s="5" t="s">
        <v>68</v>
      </c>
      <c r="I5" s="5">
        <f>Income_Monthly-Expenses_Monthly</f>
        <v>5880</v>
      </c>
    </row>
    <row r="6" spans="1:9" x14ac:dyDescent="0.2">
      <c r="B6" s="8" t="s">
        <v>46</v>
      </c>
      <c r="C6" s="9"/>
      <c r="D6" s="8" t="s">
        <v>47</v>
      </c>
      <c r="E6" s="9"/>
    </row>
    <row r="7" spans="1:9" x14ac:dyDescent="0.2">
      <c r="B7" s="10" t="s">
        <v>48</v>
      </c>
      <c r="C7" s="11"/>
      <c r="D7" s="12">
        <f>Assets_Total-Liabilities_Total</f>
        <v>10000</v>
      </c>
      <c r="E7" s="11"/>
    </row>
    <row r="8" spans="1:9" x14ac:dyDescent="0.2">
      <c r="B8" s="10" t="s">
        <v>49</v>
      </c>
      <c r="C8" s="11"/>
      <c r="D8" s="12">
        <f>Income_Monthly-Expenses_Monthly</f>
        <v>5880</v>
      </c>
      <c r="E8" s="11"/>
    </row>
    <row r="9" spans="1:9" x14ac:dyDescent="0.2">
      <c r="B9" s="10" t="s">
        <v>50</v>
      </c>
      <c r="C9" s="11"/>
      <c r="D9" s="13">
        <f>IF(Income_Monthly=0,0,Debt_Payments_Monthly/Income_Monthly)</f>
        <v>0</v>
      </c>
      <c r="E9" s="11"/>
    </row>
    <row r="10" spans="1:9" x14ac:dyDescent="0.2">
      <c r="B10" s="10" t="s">
        <v>51</v>
      </c>
      <c r="C10" s="11"/>
      <c r="D10" s="13">
        <f>IF(Income_Monthly=0,0,Savings_Monthly/Income_Monthly)</f>
        <v>0</v>
      </c>
      <c r="E10" s="11"/>
    </row>
    <row r="11" spans="1:9" x14ac:dyDescent="0.2">
      <c r="B11" s="10" t="s">
        <v>52</v>
      </c>
      <c r="C11" s="11"/>
      <c r="D11" s="14">
        <f>Income_Monthly</f>
        <v>5880</v>
      </c>
      <c r="E11" s="11"/>
    </row>
    <row r="12" spans="1:9" x14ac:dyDescent="0.2">
      <c r="B12" s="10" t="s">
        <v>53</v>
      </c>
      <c r="C12" s="11"/>
      <c r="D12" s="14">
        <f>Expenses_Monthly</f>
        <v>0</v>
      </c>
      <c r="E12" s="11"/>
    </row>
    <row r="13" spans="1:9" x14ac:dyDescent="0.2">
      <c r="B13" s="10" t="s">
        <v>54</v>
      </c>
      <c r="C13" s="11"/>
      <c r="D13" s="14">
        <f>Liabilities_Total</f>
        <v>0</v>
      </c>
      <c r="E13" s="11"/>
    </row>
    <row r="14" spans="1:9" x14ac:dyDescent="0.2">
      <c r="B14" s="10" t="s">
        <v>55</v>
      </c>
      <c r="C14" s="11"/>
      <c r="D14" s="14">
        <f>Assets_Total</f>
        <v>10000</v>
      </c>
      <c r="E14" s="11"/>
    </row>
    <row r="16" spans="1:9" ht="19" x14ac:dyDescent="0.25">
      <c r="A16" s="6" t="s">
        <v>56</v>
      </c>
      <c r="B16" s="7"/>
      <c r="C16" s="7"/>
      <c r="D16" s="7"/>
      <c r="E16" s="7"/>
      <c r="F16" s="7"/>
    </row>
    <row r="18" spans="1:6" x14ac:dyDescent="0.2">
      <c r="B18" s="15"/>
      <c r="C18" s="15"/>
      <c r="D18" s="15"/>
      <c r="E18" s="15"/>
    </row>
    <row r="19" spans="1:6" x14ac:dyDescent="0.2">
      <c r="B19" s="10" t="str">
        <f>IF(D10&lt;0.15,"1. Implement Automation Infrastructure (Chapter 3) to increase your savings rate.","")</f>
        <v>1. Implement Automation Infrastructure (Chapter 3) to increase your savings rate.</v>
      </c>
      <c r="C19" s="16"/>
      <c r="D19" s="16"/>
      <c r="E19" s="11"/>
    </row>
    <row r="20" spans="1:6" x14ac:dyDescent="0.2">
      <c r="B20" s="10" t="str">
        <f>IF(D9&gt;0.36,"2. Apply Hybrid Debt Elimination Strategy (Chapter 5) to reduce your debt burden.","")</f>
        <v/>
      </c>
      <c r="C20" s="16"/>
      <c r="D20" s="16"/>
      <c r="E20" s="11"/>
    </row>
    <row r="21" spans="1:6" x14ac:dyDescent="0.2">
      <c r="B21" s="10" t="str">
        <f>IF(AND(D8&lt;0,D9&lt;0.36),"3. Implement Cash Flow Amplifier System (Chapter 6) to increase monthly cash flow.","")</f>
        <v/>
      </c>
      <c r="C21" s="16"/>
      <c r="D21" s="16"/>
      <c r="E21" s="11"/>
    </row>
    <row r="22" spans="1:6" x14ac:dyDescent="0.2">
      <c r="B22" s="10" t="str">
        <f>IF(D11-D12&lt;1000,"4. Create additional income streams (Chapter 9) to build financial security.","")</f>
        <v/>
      </c>
      <c r="C22" s="16"/>
      <c r="D22" s="16"/>
      <c r="E22" s="11"/>
    </row>
    <row r="23" spans="1:6" x14ac:dyDescent="0.2">
      <c r="B23" s="10" t="s">
        <v>57</v>
      </c>
      <c r="C23" s="16"/>
      <c r="D23" s="16"/>
      <c r="E23" s="11"/>
    </row>
    <row r="24" spans="1:6" x14ac:dyDescent="0.2">
      <c r="B24" s="10" t="s">
        <v>58</v>
      </c>
      <c r="C24" s="16"/>
      <c r="D24" s="16"/>
      <c r="E24" s="11"/>
    </row>
    <row r="25" spans="1:6" x14ac:dyDescent="0.2">
      <c r="B25" s="15"/>
      <c r="C25" s="15"/>
      <c r="D25" s="15"/>
      <c r="E25" s="15"/>
    </row>
    <row r="27" spans="1:6" ht="19" x14ac:dyDescent="0.25">
      <c r="A27" s="6" t="s">
        <v>59</v>
      </c>
      <c r="B27" s="7"/>
      <c r="C27" s="7"/>
      <c r="D27" s="7"/>
      <c r="E27" s="7"/>
      <c r="F27" s="7"/>
    </row>
    <row r="29" spans="1:6" x14ac:dyDescent="0.2">
      <c r="B29" s="17" t="s">
        <v>60</v>
      </c>
      <c r="C29" s="18"/>
      <c r="D29" s="19" t="s">
        <v>61</v>
      </c>
      <c r="E29" s="18"/>
    </row>
    <row r="30" spans="1:6" x14ac:dyDescent="0.2">
      <c r="B30" s="18"/>
      <c r="C30" s="18"/>
      <c r="D30" s="18"/>
      <c r="E30" s="18"/>
    </row>
    <row r="31" spans="1:6" x14ac:dyDescent="0.2">
      <c r="B31" s="20" t="s">
        <v>62</v>
      </c>
      <c r="C31" s="18"/>
      <c r="D31" s="21" t="s">
        <v>63</v>
      </c>
      <c r="E31" s="18"/>
    </row>
    <row r="32" spans="1:6" x14ac:dyDescent="0.2">
      <c r="B32" s="18"/>
      <c r="C32" s="18"/>
      <c r="D32" s="18"/>
      <c r="E32" s="18"/>
    </row>
    <row r="33" spans="1:6" x14ac:dyDescent="0.2">
      <c r="B33" s="22" t="s">
        <v>64</v>
      </c>
      <c r="C33" s="18"/>
      <c r="D33" s="23" t="s">
        <v>65</v>
      </c>
      <c r="E33" s="18"/>
    </row>
    <row r="34" spans="1:6" x14ac:dyDescent="0.2">
      <c r="B34" s="18"/>
      <c r="C34" s="18"/>
      <c r="D34" s="18"/>
      <c r="E34" s="18"/>
    </row>
    <row r="40" spans="1:6" x14ac:dyDescent="0.2">
      <c r="A40" s="24" t="s">
        <v>66</v>
      </c>
      <c r="B40" s="2"/>
      <c r="C40" s="2"/>
      <c r="D40" s="2"/>
      <c r="E40" s="2"/>
      <c r="F40" s="2"/>
    </row>
  </sheetData>
  <mergeCells count="33">
    <mergeCell ref="B33:C34"/>
    <mergeCell ref="D33:E34"/>
    <mergeCell ref="A40:F40"/>
    <mergeCell ref="B23:E23"/>
    <mergeCell ref="B24:E24"/>
    <mergeCell ref="B29:C30"/>
    <mergeCell ref="D29:E30"/>
    <mergeCell ref="B31:C32"/>
    <mergeCell ref="D31:E32"/>
    <mergeCell ref="B14:C14"/>
    <mergeCell ref="D14:E14"/>
    <mergeCell ref="B19:E19"/>
    <mergeCell ref="B20:E20"/>
    <mergeCell ref="B21:E21"/>
    <mergeCell ref="B22:E22"/>
    <mergeCell ref="B11:C11"/>
    <mergeCell ref="D11:E11"/>
    <mergeCell ref="B12:C12"/>
    <mergeCell ref="D12:E12"/>
    <mergeCell ref="B13:C13"/>
    <mergeCell ref="D13:E13"/>
    <mergeCell ref="B8:C8"/>
    <mergeCell ref="D8:E8"/>
    <mergeCell ref="B9:C9"/>
    <mergeCell ref="D9:E9"/>
    <mergeCell ref="B10:C10"/>
    <mergeCell ref="D10:E10"/>
    <mergeCell ref="A1:F1"/>
    <mergeCell ref="A2:F2"/>
    <mergeCell ref="B6:C6"/>
    <mergeCell ref="D6:E6"/>
    <mergeCell ref="B7:C7"/>
    <mergeCell ref="D7:E7"/>
  </mergeCells>
  <conditionalFormatting sqref="D8">
    <cfRule type="cellIs" dxfId="6" priority="1" stopIfTrue="1" operator="lessThan">
      <formula>0</formula>
    </cfRule>
  </conditionalFormatting>
  <conditionalFormatting sqref="D9">
    <cfRule type="cellIs" dxfId="5" priority="2" stopIfTrue="1" operator="greaterThan">
      <formula>"0.36"</formula>
    </cfRule>
  </conditionalFormatting>
  <conditionalFormatting sqref="D10">
    <cfRule type="cellIs" dxfId="4" priority="3" stopIfTrue="1" operator="lessThan">
      <formula>"0.15"</formula>
    </cfRule>
  </conditionalFormatting>
  <hyperlinks>
    <hyperlink ref="B29" location="Income!A1" display="Income" xr:uid="{60128897-A5D4-1C43-B0E0-8B775626398F}"/>
    <hyperlink ref="D29" location="Expenses!A1" display="Expenses" xr:uid="{343E1231-0597-144A-82DE-F936BF353341}"/>
    <hyperlink ref="B31" location="Debt!A1" display="Debt" xr:uid="{D063C290-A079-DB42-9265-FCB8AA7BE135}"/>
    <hyperlink ref="D31" location="Assets!A1" display="Assets" xr:uid="{8878BDAA-612E-024A-96EB-ECFF18E4D422}"/>
    <hyperlink ref="B33" location="Financial Independence!A1" display="Financial Independence" xr:uid="{D282CEBF-D864-034C-9F97-06852F364544}"/>
    <hyperlink ref="D33" location="Implementation Plan!A1" display="Implementation Plan" xr:uid="{C2E73D08-5D86-914F-ADD1-D9C425F45AD3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F931-9477-6348-A8D7-CFDC0021B496}">
  <sheetPr codeName="Sheet2">
    <tabColor rgb="FF00B050"/>
  </sheetPr>
  <dimension ref="A1:E22"/>
  <sheetViews>
    <sheetView workbookViewId="0">
      <selection activeCell="C13" sqref="C13"/>
    </sheetView>
  </sheetViews>
  <sheetFormatPr baseColWidth="10" defaultRowHeight="16" x14ac:dyDescent="0.2"/>
  <cols>
    <col min="1" max="1" width="23.1640625" style="27" bestFit="1" customWidth="1"/>
    <col min="2" max="2" width="9.33203125" style="27" bestFit="1" customWidth="1"/>
    <col min="3" max="3" width="39.33203125" style="27" bestFit="1" customWidth="1"/>
    <col min="4" max="4" width="16.6640625" style="27" bestFit="1" customWidth="1"/>
    <col min="5" max="5" width="6.1640625" style="27" bestFit="1" customWidth="1"/>
    <col min="6" max="16384" width="10.83203125" style="27"/>
  </cols>
  <sheetData>
    <row r="1" spans="1:5" ht="19" x14ac:dyDescent="0.25">
      <c r="A1" s="25" t="s">
        <v>2</v>
      </c>
      <c r="B1" s="26"/>
      <c r="C1" s="26"/>
      <c r="D1" s="26"/>
      <c r="E1" s="26"/>
    </row>
    <row r="2" spans="1:5" x14ac:dyDescent="0.2">
      <c r="A2" s="28" t="s">
        <v>69</v>
      </c>
    </row>
    <row r="4" spans="1:5" x14ac:dyDescent="0.2">
      <c r="A4" s="29" t="s">
        <v>3</v>
      </c>
      <c r="B4" s="29" t="s">
        <v>4</v>
      </c>
      <c r="C4" s="29" t="s">
        <v>5</v>
      </c>
      <c r="D4" s="29" t="s">
        <v>6</v>
      </c>
      <c r="E4" s="29" t="s">
        <v>39</v>
      </c>
    </row>
    <row r="5" spans="1:5" x14ac:dyDescent="0.2">
      <c r="A5" s="30" t="s">
        <v>7</v>
      </c>
      <c r="B5" s="41">
        <v>4880</v>
      </c>
      <c r="C5" s="40" t="s">
        <v>185</v>
      </c>
      <c r="D5" s="31">
        <f>IF(B5="",0,IF(C5="Weekly",B5*52/12,IF(C5="Bi-weekly",B5*26/12,IF(C5="Monthly",B5,IF(C5="Quarterly",B5/3,IF(C5="Annually",B5/12,0))))))</f>
        <v>4880</v>
      </c>
      <c r="E5" s="40"/>
    </row>
    <row r="6" spans="1:5" x14ac:dyDescent="0.2">
      <c r="A6" s="32" t="s">
        <v>8</v>
      </c>
      <c r="B6" s="43"/>
      <c r="C6" s="42"/>
      <c r="D6" s="33">
        <f>IF(B6="",0,IF(C6="Weekly",B6*52/12,IF(C6="Bi-weekly",B6*26/12,IF(C6="Monthly",B6,IF(C6="Quarterly",B6/3,IF(C6="Annually",B6/12,0))))))</f>
        <v>0</v>
      </c>
      <c r="E6" s="42"/>
    </row>
    <row r="7" spans="1:5" x14ac:dyDescent="0.2">
      <c r="A7" s="30" t="s">
        <v>9</v>
      </c>
      <c r="B7" s="41">
        <v>500</v>
      </c>
      <c r="C7" s="40" t="s">
        <v>185</v>
      </c>
      <c r="D7" s="31">
        <f>IF(B7="",0,IF(C7="Weekly",B7*52/12,IF(C7="Bi-weekly",B7*26/12,IF(C7="Monthly",B7,IF(C7="Quarterly",B7/3,IF(C7="Annually",B7/12,0))))))</f>
        <v>500</v>
      </c>
      <c r="E7" s="40"/>
    </row>
    <row r="8" spans="1:5" x14ac:dyDescent="0.2">
      <c r="A8" s="32" t="s">
        <v>10</v>
      </c>
      <c r="B8" s="43"/>
      <c r="C8" s="42"/>
      <c r="D8" s="33">
        <f>IF(B8="",0,IF(C8="Weekly",B8*52/12,IF(C8="Bi-weekly",B8*26/12,IF(C8="Monthly",B8,IF(C8="Quarterly",B8/3,IF(C8="Annually",B8/12,0))))))</f>
        <v>0</v>
      </c>
      <c r="E8" s="42"/>
    </row>
    <row r="9" spans="1:5" x14ac:dyDescent="0.2">
      <c r="A9" s="30" t="s">
        <v>11</v>
      </c>
      <c r="B9" s="41"/>
      <c r="C9" s="40"/>
      <c r="D9" s="31">
        <f>IF(B9="",0,IF(C9="Weekly",B9*52/12,IF(C9="Bi-weekly",B9*26/12,IF(C9="Monthly",B9,IF(C9="Quarterly",B9/3,IF(C9="Annually",B9/12,0))))))</f>
        <v>0</v>
      </c>
      <c r="E9" s="40"/>
    </row>
    <row r="10" spans="1:5" x14ac:dyDescent="0.2">
      <c r="A10" s="32" t="s">
        <v>70</v>
      </c>
      <c r="B10" s="43"/>
      <c r="C10" s="42"/>
      <c r="D10" s="33">
        <f>IF(B10="",0,IF(C10="Weekly",B10*52/12,IF(C10="Bi-weekly",B10*26/12,IF(C10="Monthly",B10,IF(C10="Quarterly",B10/3,IF(C10="Annually",B10/12,0))))))</f>
        <v>0</v>
      </c>
      <c r="E10" s="42"/>
    </row>
    <row r="11" spans="1:5" x14ac:dyDescent="0.2">
      <c r="A11" s="30" t="s">
        <v>12</v>
      </c>
      <c r="B11" s="41">
        <v>500</v>
      </c>
      <c r="C11" s="40" t="s">
        <v>185</v>
      </c>
      <c r="D11" s="31">
        <f>IF(B11="",0,IF(C11="Weekly",B11*52/12,IF(C11="Bi-weekly",B11*26/12,IF(C11="Monthly",B11,IF(C11="Quarterly",B11/3,IF(C11="Annually",B11/12,0))))))</f>
        <v>500</v>
      </c>
      <c r="E11" s="40"/>
    </row>
    <row r="12" spans="1:5" x14ac:dyDescent="0.2">
      <c r="A12" s="32"/>
      <c r="B12" s="43"/>
      <c r="C12" s="42"/>
      <c r="D12" s="33">
        <f>IF(B12="",0,IF(C12="Weekly",B12*52/12,IF(C12="Bi-weekly",B12*26/12,IF(C12="Monthly",B12,IF(C12="Quarterly",B12/3,IF(C12="Annually",B12/12,0))))))</f>
        <v>0</v>
      </c>
      <c r="E12" s="42"/>
    </row>
    <row r="13" spans="1:5" x14ac:dyDescent="0.2">
      <c r="A13" s="30"/>
      <c r="B13" s="41"/>
      <c r="C13" s="40"/>
      <c r="D13" s="31">
        <f>IF(B13="",0,IF(C13="Weekly",B13*52/12,IF(C13="Bi-weekly",B13*26/12,IF(C13="Monthly",B13,IF(C13="Quarterly",B13/3,IF(C13="Annually",B13/12,0))))))</f>
        <v>0</v>
      </c>
      <c r="E13" s="40"/>
    </row>
    <row r="14" spans="1:5" x14ac:dyDescent="0.2">
      <c r="A14" s="32"/>
      <c r="B14" s="43"/>
      <c r="C14" s="42"/>
      <c r="D14" s="33">
        <f>IF(B14="",0,IF(C14="Weekly",B14*52/12,IF(C14="Bi-weekly",B14*26/12,IF(C14="Monthly",B14,IF(C14="Quarterly",B14/3,IF(C14="Annually",B14/12,0))))))</f>
        <v>0</v>
      </c>
      <c r="E14" s="42"/>
    </row>
    <row r="15" spans="1:5" x14ac:dyDescent="0.2">
      <c r="A15" s="30"/>
      <c r="B15" s="41"/>
      <c r="C15" s="40"/>
      <c r="D15" s="31">
        <f>IF(B15="",0,IF(C15="Weekly",B15*52/12,IF(C15="Bi-weekly",B15*26/12,IF(C15="Monthly",B15,IF(C15="Quarterly",B15/3,IF(C15="Annually",B15/12,0))))))</f>
        <v>0</v>
      </c>
      <c r="E15" s="40"/>
    </row>
    <row r="16" spans="1:5" x14ac:dyDescent="0.2">
      <c r="A16" s="34"/>
      <c r="B16" s="34"/>
      <c r="C16" s="34"/>
      <c r="D16" s="34"/>
      <c r="E16" s="34"/>
    </row>
    <row r="17" spans="1:5" x14ac:dyDescent="0.2">
      <c r="A17" s="35" t="s">
        <v>13</v>
      </c>
      <c r="B17" s="36"/>
      <c r="C17" s="36"/>
      <c r="D17" s="37">
        <f>SUM(D5:D15)</f>
        <v>5880</v>
      </c>
      <c r="E17" s="36"/>
    </row>
    <row r="19" spans="1:5" x14ac:dyDescent="0.2">
      <c r="A19" s="38" t="s">
        <v>71</v>
      </c>
      <c r="B19" s="39"/>
      <c r="C19" s="39"/>
      <c r="D19" s="39"/>
      <c r="E19" s="39"/>
    </row>
    <row r="20" spans="1:5" x14ac:dyDescent="0.2">
      <c r="A20" s="39" t="s">
        <v>72</v>
      </c>
      <c r="B20" s="39"/>
      <c r="C20" s="39"/>
      <c r="D20" s="39"/>
      <c r="E20" s="39"/>
    </row>
    <row r="21" spans="1:5" x14ac:dyDescent="0.2">
      <c r="A21" s="39" t="s">
        <v>73</v>
      </c>
      <c r="B21" s="39"/>
      <c r="C21" s="39"/>
      <c r="D21" s="39"/>
      <c r="E21" s="39"/>
    </row>
    <row r="22" spans="1:5" x14ac:dyDescent="0.2">
      <c r="A22" s="39" t="s">
        <v>74</v>
      </c>
      <c r="B22" s="39"/>
      <c r="C22" s="39"/>
      <c r="D22" s="39"/>
      <c r="E22" s="39"/>
    </row>
  </sheetData>
  <sheetProtection formatCells="0" formatColumns="0" formatRows="0" insertHyperlinks="0" sort="0" autoFilter="0"/>
  <mergeCells count="5">
    <mergeCell ref="A1:E1"/>
    <mergeCell ref="A19:E19"/>
    <mergeCell ref="A20:E20"/>
    <mergeCell ref="A21:E21"/>
    <mergeCell ref="A22:E22"/>
  </mergeCells>
  <dataValidations count="1">
    <dataValidation type="list" operator="equal" allowBlank="1" showInputMessage="1" showErrorMessage="1" errorTitle="Invalid frequency" error="Please select from the list of frequencies" promptTitle="Select frequency" prompt="Please select how often you receive this income" sqref="C5:C15" xr:uid="{036F9424-22C2-B043-8E45-8A95871E0D0E}">
      <formula1>"Weekly,Bi-weekly,Monthly,Quarterly,Annually"</formula1>
    </dataValidation>
  </dataValidations>
  <hyperlinks>
    <hyperlink ref="A2" location="Dashboard!A1" display="« Back to Dashboard" xr:uid="{EB6EA170-2131-454E-9BD0-69E215721B5B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BAD6B-4DF8-5040-A22E-A2733E2553C5}">
  <sheetPr codeName="Sheet3">
    <tabColor rgb="FFFF0000"/>
  </sheetPr>
  <dimension ref="A1:E47"/>
  <sheetViews>
    <sheetView topLeftCell="A9" workbookViewId="0">
      <selection sqref="A1:E1"/>
    </sheetView>
  </sheetViews>
  <sheetFormatPr baseColWidth="10" defaultRowHeight="16" x14ac:dyDescent="0.2"/>
  <cols>
    <col min="1" max="1" width="24.6640625" style="27" bestFit="1" customWidth="1"/>
    <col min="2" max="2" width="7.6640625" style="27" bestFit="1" customWidth="1"/>
    <col min="3" max="3" width="9.6640625" style="27" bestFit="1" customWidth="1"/>
    <col min="4" max="4" width="16.6640625" style="27" bestFit="1" customWidth="1"/>
    <col min="5" max="5" width="11.1640625" style="27" bestFit="1" customWidth="1"/>
    <col min="6" max="16384" width="10.83203125" style="27"/>
  </cols>
  <sheetData>
    <row r="1" spans="1:5" ht="19" x14ac:dyDescent="0.25">
      <c r="A1" s="44" t="s">
        <v>14</v>
      </c>
      <c r="B1" s="26"/>
      <c r="C1" s="26"/>
      <c r="D1" s="26"/>
      <c r="E1" s="26"/>
    </row>
    <row r="2" spans="1:5" x14ac:dyDescent="0.2">
      <c r="A2" s="28" t="s">
        <v>69</v>
      </c>
    </row>
    <row r="4" spans="1:5" x14ac:dyDescent="0.2">
      <c r="A4" s="29" t="s">
        <v>75</v>
      </c>
      <c r="B4" s="29" t="s">
        <v>4</v>
      </c>
      <c r="C4" s="29" t="s">
        <v>5</v>
      </c>
      <c r="D4" s="29" t="s">
        <v>6</v>
      </c>
      <c r="E4" s="29" t="s">
        <v>15</v>
      </c>
    </row>
    <row r="5" spans="1:5" x14ac:dyDescent="0.2">
      <c r="A5" s="29" t="s">
        <v>16</v>
      </c>
      <c r="B5" s="34"/>
      <c r="C5" s="34"/>
      <c r="D5" s="34"/>
      <c r="E5" s="34"/>
    </row>
    <row r="6" spans="1:5" x14ac:dyDescent="0.2">
      <c r="A6" s="30" t="s">
        <v>76</v>
      </c>
      <c r="B6" s="41"/>
      <c r="C6" s="40"/>
      <c r="D6" s="31">
        <f>IF(B6="",0,IF(C6="Weekly",B6*52/12,IF(C6="Bi-weekly",B6*26/12,IF(C6="Monthly",B6,IF(C6="Quarterly",B6/3,IF(C6="Annually",B6/12,0))))))</f>
        <v>0</v>
      </c>
      <c r="E6" s="54">
        <f>IF(Income_Monthly=0,0,D6/Income_Monthly)</f>
        <v>0</v>
      </c>
    </row>
    <row r="7" spans="1:5" x14ac:dyDescent="0.2">
      <c r="A7" s="32" t="s">
        <v>77</v>
      </c>
      <c r="B7" s="43"/>
      <c r="C7" s="42"/>
      <c r="D7" s="33">
        <f>IF(B7="",0,IF(C7="Weekly",B7*52/12,IF(C7="Bi-weekly",B7*26/12,IF(C7="Monthly",B7,IF(C7="Quarterly",B7/3,IF(C7="Annually",B7/12,0))))))</f>
        <v>0</v>
      </c>
      <c r="E7" s="55">
        <f>IF(Income_Monthly=0,0,D7/Income_Monthly)</f>
        <v>0</v>
      </c>
    </row>
    <row r="8" spans="1:5" x14ac:dyDescent="0.2">
      <c r="A8" s="30" t="s">
        <v>78</v>
      </c>
      <c r="B8" s="41"/>
      <c r="C8" s="40"/>
      <c r="D8" s="31">
        <f>IF(B8="",0,IF(C8="Weekly",B8*52/12,IF(C8="Bi-weekly",B8*26/12,IF(C8="Monthly",B8,IF(C8="Quarterly",B8/3,IF(C8="Annually",B8/12,0))))))</f>
        <v>0</v>
      </c>
      <c r="E8" s="54">
        <f>IF(Income_Monthly=0,0,D8/Income_Monthly)</f>
        <v>0</v>
      </c>
    </row>
    <row r="9" spans="1:5" x14ac:dyDescent="0.2">
      <c r="A9" s="32" t="s">
        <v>79</v>
      </c>
      <c r="B9" s="43"/>
      <c r="C9" s="42"/>
      <c r="D9" s="33">
        <f>IF(B9="",0,IF(C9="Weekly",B9*52/12,IF(C9="Bi-weekly",B9*26/12,IF(C9="Monthly",B9,IF(C9="Quarterly",B9/3,IF(C9="Annually",B9/12,0))))))</f>
        <v>0</v>
      </c>
      <c r="E9" s="55">
        <f>IF(Income_Monthly=0,0,D9/Income_Monthly)</f>
        <v>0</v>
      </c>
    </row>
    <row r="10" spans="1:5" x14ac:dyDescent="0.2">
      <c r="A10" s="30" t="s">
        <v>80</v>
      </c>
      <c r="B10" s="41"/>
      <c r="C10" s="40"/>
      <c r="D10" s="31">
        <f>IF(B10="",0,IF(C10="Weekly",B10*52/12,IF(C10="Bi-weekly",B10*26/12,IF(C10="Monthly",B10,IF(C10="Quarterly",B10/3,IF(C10="Annually",B10/12,0))))))</f>
        <v>0</v>
      </c>
      <c r="E10" s="54">
        <f>IF(Income_Monthly=0,0,D10/Income_Monthly)</f>
        <v>0</v>
      </c>
    </row>
    <row r="11" spans="1:5" x14ac:dyDescent="0.2">
      <c r="A11" s="32"/>
      <c r="B11" s="43"/>
      <c r="C11" s="42"/>
      <c r="D11" s="33">
        <f>IF(B11="",0,IF(C11="Weekly",B11*52/12,IF(C11="Bi-weekly",B11*26/12,IF(C11="Monthly",B11,IF(C11="Quarterly",B11/3,IF(C11="Annually",B11/12,0))))))</f>
        <v>0</v>
      </c>
      <c r="E11" s="55">
        <f>IF(Income_Monthly=0,0,D11/Income_Monthly)</f>
        <v>0</v>
      </c>
    </row>
    <row r="12" spans="1:5" x14ac:dyDescent="0.2">
      <c r="A12" s="29" t="s">
        <v>17</v>
      </c>
      <c r="B12" s="52"/>
      <c r="C12" s="53"/>
      <c r="D12" s="45"/>
      <c r="E12" s="56"/>
    </row>
    <row r="13" spans="1:5" x14ac:dyDescent="0.2">
      <c r="A13" s="32" t="s">
        <v>81</v>
      </c>
      <c r="B13" s="43"/>
      <c r="C13" s="42"/>
      <c r="D13" s="33">
        <f>IF(B13="",0,IF(C13="Weekly",B13*52/12,IF(C13="Bi-weekly",B13*26/12,IF(C13="Monthly",B13,IF(C13="Quarterly",B13/3,IF(C13="Annually",B13/12,0))))))</f>
        <v>0</v>
      </c>
      <c r="E13" s="55">
        <f>IF(Income_Monthly=0,0,D13/Income_Monthly)</f>
        <v>0</v>
      </c>
    </row>
    <row r="14" spans="1:5" x14ac:dyDescent="0.2">
      <c r="A14" s="30" t="s">
        <v>82</v>
      </c>
      <c r="B14" s="41"/>
      <c r="C14" s="40"/>
      <c r="D14" s="31">
        <f>IF(B14="",0,IF(C14="Weekly",B14*52/12,IF(C14="Bi-weekly",B14*26/12,IF(C14="Monthly",B14,IF(C14="Quarterly",B14/3,IF(C14="Annually",B14/12,0))))))</f>
        <v>0</v>
      </c>
      <c r="E14" s="54">
        <f>IF(Income_Monthly=0,0,D14/Income_Monthly)</f>
        <v>0</v>
      </c>
    </row>
    <row r="15" spans="1:5" x14ac:dyDescent="0.2">
      <c r="A15" s="32" t="s">
        <v>83</v>
      </c>
      <c r="B15" s="43"/>
      <c r="C15" s="42"/>
      <c r="D15" s="33">
        <f>IF(B15="",0,IF(C15="Weekly",B15*52/12,IF(C15="Bi-weekly",B15*26/12,IF(C15="Monthly",B15,IF(C15="Quarterly",B15/3,IF(C15="Annually",B15/12,0))))))</f>
        <v>0</v>
      </c>
      <c r="E15" s="55">
        <f>IF(Income_Monthly=0,0,D15/Income_Monthly)</f>
        <v>0</v>
      </c>
    </row>
    <row r="16" spans="1:5" x14ac:dyDescent="0.2">
      <c r="A16" s="30" t="s">
        <v>80</v>
      </c>
      <c r="B16" s="41"/>
      <c r="C16" s="40"/>
      <c r="D16" s="31">
        <f>IF(B16="",0,IF(C16="Weekly",B16*52/12,IF(C16="Bi-weekly",B16*26/12,IF(C16="Monthly",B16,IF(C16="Quarterly",B16/3,IF(C16="Annually",B16/12,0))))))</f>
        <v>0</v>
      </c>
      <c r="E16" s="54">
        <f>IF(Income_Monthly=0,0,D16/Income_Monthly)</f>
        <v>0</v>
      </c>
    </row>
    <row r="17" spans="1:5" x14ac:dyDescent="0.2">
      <c r="A17" s="32" t="s">
        <v>84</v>
      </c>
      <c r="B17" s="43"/>
      <c r="C17" s="42"/>
      <c r="D17" s="33">
        <f>IF(B17="",0,IF(C17="Weekly",B17*52/12,IF(C17="Bi-weekly",B17*26/12,IF(C17="Monthly",B17,IF(C17="Quarterly",B17/3,IF(C17="Annually",B17/12,0))))))</f>
        <v>0</v>
      </c>
      <c r="E17" s="55">
        <f>IF(Income_Monthly=0,0,D17/Income_Monthly)</f>
        <v>0</v>
      </c>
    </row>
    <row r="18" spans="1:5" x14ac:dyDescent="0.2">
      <c r="A18" s="30"/>
      <c r="B18" s="41"/>
      <c r="C18" s="40"/>
      <c r="D18" s="31">
        <f>IF(B18="",0,IF(C18="Weekly",B18*52/12,IF(C18="Bi-weekly",B18*26/12,IF(C18="Monthly",B18,IF(C18="Quarterly",B18/3,IF(C18="Annually",B18/12,0))))))</f>
        <v>0</v>
      </c>
      <c r="E18" s="54">
        <f>IF(Income_Monthly=0,0,D18/Income_Monthly)</f>
        <v>0</v>
      </c>
    </row>
    <row r="19" spans="1:5" x14ac:dyDescent="0.2">
      <c r="A19" s="29" t="s">
        <v>18</v>
      </c>
      <c r="B19" s="52"/>
      <c r="C19" s="53"/>
      <c r="D19" s="45"/>
      <c r="E19" s="56"/>
    </row>
    <row r="20" spans="1:5" x14ac:dyDescent="0.2">
      <c r="A20" s="30" t="s">
        <v>85</v>
      </c>
      <c r="B20" s="41"/>
      <c r="C20" s="40"/>
      <c r="D20" s="31">
        <f>IF(B20="",0,IF(C20="Weekly",B20*52/12,IF(C20="Bi-weekly",B20*26/12,IF(C20="Monthly",B20,IF(C20="Quarterly",B20/3,IF(C20="Annually",B20/12,0))))))</f>
        <v>0</v>
      </c>
      <c r="E20" s="54">
        <f>IF(Income_Monthly=0,0,D20/Income_Monthly)</f>
        <v>0</v>
      </c>
    </row>
    <row r="21" spans="1:5" x14ac:dyDescent="0.2">
      <c r="A21" s="32" t="s">
        <v>86</v>
      </c>
      <c r="B21" s="43"/>
      <c r="C21" s="42"/>
      <c r="D21" s="33">
        <f>IF(B21="",0,IF(C21="Weekly",B21*52/12,IF(C21="Bi-weekly",B21*26/12,IF(C21="Monthly",B21,IF(C21="Quarterly",B21/3,IF(C21="Annually",B21/12,0))))))</f>
        <v>0</v>
      </c>
      <c r="E21" s="55">
        <f>IF(Income_Monthly=0,0,D21/Income_Monthly)</f>
        <v>0</v>
      </c>
    </row>
    <row r="22" spans="1:5" x14ac:dyDescent="0.2">
      <c r="A22" s="30"/>
      <c r="B22" s="41"/>
      <c r="C22" s="40"/>
      <c r="D22" s="31">
        <f>IF(B22="",0,IF(C22="Weekly",B22*52/12,IF(C22="Bi-weekly",B22*26/12,IF(C22="Monthly",B22,IF(C22="Quarterly",B22/3,IF(C22="Annually",B22/12,0))))))</f>
        <v>0</v>
      </c>
      <c r="E22" s="54">
        <f>IF(Income_Monthly=0,0,D22/Income_Monthly)</f>
        <v>0</v>
      </c>
    </row>
    <row r="23" spans="1:5" x14ac:dyDescent="0.2">
      <c r="A23" s="29" t="s">
        <v>87</v>
      </c>
      <c r="B23" s="52"/>
      <c r="C23" s="53"/>
      <c r="D23" s="45"/>
      <c r="E23" s="56"/>
    </row>
    <row r="24" spans="1:5" x14ac:dyDescent="0.2">
      <c r="A24" s="30" t="s">
        <v>88</v>
      </c>
      <c r="B24" s="41"/>
      <c r="C24" s="40"/>
      <c r="D24" s="31">
        <f>IF(B24="",0,IF(C24="Weekly",B24*52/12,IF(C24="Bi-weekly",B24*26/12,IF(C24="Monthly",B24,IF(C24="Quarterly",B24/3,IF(C24="Annually",B24/12,0))))))</f>
        <v>0</v>
      </c>
      <c r="E24" s="54">
        <f>IF(Income_Monthly=0,0,D24/Income_Monthly)</f>
        <v>0</v>
      </c>
    </row>
    <row r="25" spans="1:5" x14ac:dyDescent="0.2">
      <c r="A25" s="32" t="s">
        <v>89</v>
      </c>
      <c r="B25" s="43"/>
      <c r="C25" s="42"/>
      <c r="D25" s="33">
        <f>IF(B25="",0,IF(C25="Weekly",B25*52/12,IF(C25="Bi-weekly",B25*26/12,IF(C25="Monthly",B25,IF(C25="Quarterly",B25/3,IF(C25="Annually",B25/12,0))))))</f>
        <v>0</v>
      </c>
      <c r="E25" s="55">
        <f>IF(Income_Monthly=0,0,D25/Income_Monthly)</f>
        <v>0</v>
      </c>
    </row>
    <row r="26" spans="1:5" x14ac:dyDescent="0.2">
      <c r="A26" s="30" t="s">
        <v>90</v>
      </c>
      <c r="B26" s="41"/>
      <c r="C26" s="40"/>
      <c r="D26" s="31">
        <f>IF(B26="",0,IF(C26="Weekly",B26*52/12,IF(C26="Bi-weekly",B26*26/12,IF(C26="Monthly",B26,IF(C26="Quarterly",B26/3,IF(C26="Annually",B26/12,0))))))</f>
        <v>0</v>
      </c>
      <c r="E26" s="54">
        <f>IF(Income_Monthly=0,0,D26/Income_Monthly)</f>
        <v>0</v>
      </c>
    </row>
    <row r="27" spans="1:5" x14ac:dyDescent="0.2">
      <c r="A27" s="32" t="s">
        <v>91</v>
      </c>
      <c r="B27" s="43"/>
      <c r="C27" s="42"/>
      <c r="D27" s="33">
        <f>IF(B27="",0,IF(C27="Weekly",B27*52/12,IF(C27="Bi-weekly",B27*26/12,IF(C27="Monthly",B27,IF(C27="Quarterly",B27/3,IF(C27="Annually",B27/12,0))))))</f>
        <v>0</v>
      </c>
      <c r="E27" s="55">
        <f>IF(Income_Monthly=0,0,D27/Income_Monthly)</f>
        <v>0</v>
      </c>
    </row>
    <row r="28" spans="1:5" x14ac:dyDescent="0.2">
      <c r="A28" s="30"/>
      <c r="B28" s="41"/>
      <c r="C28" s="40"/>
      <c r="D28" s="31">
        <f>IF(B28="",0,IF(C28="Weekly",B28*52/12,IF(C28="Bi-weekly",B28*26/12,IF(C28="Monthly",B28,IF(C28="Quarterly",B28/3,IF(C28="Annually",B28/12,0))))))</f>
        <v>0</v>
      </c>
      <c r="E28" s="54">
        <f>IF(Income_Monthly=0,0,D28/Income_Monthly)</f>
        <v>0</v>
      </c>
    </row>
    <row r="29" spans="1:5" x14ac:dyDescent="0.2">
      <c r="A29" s="29" t="s">
        <v>19</v>
      </c>
      <c r="B29" s="52"/>
      <c r="C29" s="53"/>
      <c r="D29" s="45"/>
      <c r="E29" s="56"/>
    </row>
    <row r="30" spans="1:5" x14ac:dyDescent="0.2">
      <c r="A30" s="30" t="s">
        <v>92</v>
      </c>
      <c r="B30" s="41"/>
      <c r="C30" s="40"/>
      <c r="D30" s="31">
        <f>IF(B30="",0,IF(C30="Weekly",B30*52/12,IF(C30="Bi-weekly",B30*26/12,IF(C30="Monthly",B30,IF(C30="Quarterly",B30/3,IF(C30="Annually",B30/12,0))))))</f>
        <v>0</v>
      </c>
      <c r="E30" s="54">
        <f>IF(Income_Monthly=0,0,D30/Income_Monthly)</f>
        <v>0</v>
      </c>
    </row>
    <row r="31" spans="1:5" x14ac:dyDescent="0.2">
      <c r="A31" s="32" t="s">
        <v>93</v>
      </c>
      <c r="B31" s="43"/>
      <c r="C31" s="42"/>
      <c r="D31" s="33">
        <f>IF(B31="",0,IF(C31="Weekly",B31*52/12,IF(C31="Bi-weekly",B31*26/12,IF(C31="Monthly",B31,IF(C31="Quarterly",B31/3,IF(C31="Annually",B31/12,0))))))</f>
        <v>0</v>
      </c>
      <c r="E31" s="55">
        <f>IF(Income_Monthly=0,0,D31/Income_Monthly)</f>
        <v>0</v>
      </c>
    </row>
    <row r="32" spans="1:5" x14ac:dyDescent="0.2">
      <c r="A32" s="30" t="s">
        <v>94</v>
      </c>
      <c r="B32" s="41"/>
      <c r="C32" s="40"/>
      <c r="D32" s="31">
        <f>IF(B32="",0,IF(C32="Weekly",B32*52/12,IF(C32="Bi-weekly",B32*26/12,IF(C32="Monthly",B32,IF(C32="Quarterly",B32/3,IF(C32="Annually",B32/12,0))))))</f>
        <v>0</v>
      </c>
      <c r="E32" s="54">
        <f>IF(Income_Monthly=0,0,D32/Income_Monthly)</f>
        <v>0</v>
      </c>
    </row>
    <row r="33" spans="1:5" x14ac:dyDescent="0.2">
      <c r="A33" s="32"/>
      <c r="B33" s="43"/>
      <c r="C33" s="42"/>
      <c r="D33" s="33">
        <f>IF(B33="",0,IF(C33="Weekly",B33*52/12,IF(C33="Bi-weekly",B33*26/12,IF(C33="Monthly",B33,IF(C33="Quarterly",B33/3,IF(C33="Annually",B33/12,0))))))</f>
        <v>0</v>
      </c>
      <c r="E33" s="55">
        <f>IF(Income_Monthly=0,0,D33/Income_Monthly)</f>
        <v>0</v>
      </c>
    </row>
    <row r="34" spans="1:5" x14ac:dyDescent="0.2">
      <c r="A34" s="29" t="s">
        <v>20</v>
      </c>
      <c r="B34" s="52"/>
      <c r="C34" s="53"/>
      <c r="D34" s="45"/>
      <c r="E34" s="56"/>
    </row>
    <row r="35" spans="1:5" x14ac:dyDescent="0.2">
      <c r="A35" s="32" t="s">
        <v>95</v>
      </c>
      <c r="B35" s="43"/>
      <c r="C35" s="42"/>
      <c r="D35" s="33">
        <f>IF(B35="",0,IF(C35="Weekly",B35*52/12,IF(C35="Bi-weekly",B35*26/12,IF(C35="Monthly",B35,IF(C35="Quarterly",B35/3,IF(C35="Annually",B35/12,0))))))</f>
        <v>0</v>
      </c>
      <c r="E35" s="55">
        <f>IF(Income_Monthly=0,0,D35/Income_Monthly)</f>
        <v>0</v>
      </c>
    </row>
    <row r="36" spans="1:5" x14ac:dyDescent="0.2">
      <c r="A36" s="30" t="s">
        <v>96</v>
      </c>
      <c r="B36" s="41"/>
      <c r="C36" s="40"/>
      <c r="D36" s="31">
        <f>IF(B36="",0,IF(C36="Weekly",B36*52/12,IF(C36="Bi-weekly",B36*26/12,IF(C36="Monthly",B36,IF(C36="Quarterly",B36/3,IF(C36="Annually",B36/12,0))))))</f>
        <v>0</v>
      </c>
      <c r="E36" s="54">
        <f>IF(Income_Monthly=0,0,D36/Income_Monthly)</f>
        <v>0</v>
      </c>
    </row>
    <row r="37" spans="1:5" x14ac:dyDescent="0.2">
      <c r="A37" s="32" t="s">
        <v>97</v>
      </c>
      <c r="B37" s="43"/>
      <c r="C37" s="42"/>
      <c r="D37" s="33">
        <f>IF(B37="",0,IF(C37="Weekly",B37*52/12,IF(C37="Bi-weekly",B37*26/12,IF(C37="Monthly",B37,IF(C37="Quarterly",B37/3,IF(C37="Annually",B37/12,0))))))</f>
        <v>0</v>
      </c>
      <c r="E37" s="55">
        <f>IF(Income_Monthly=0,0,D37/Income_Monthly)</f>
        <v>0</v>
      </c>
    </row>
    <row r="38" spans="1:5" x14ac:dyDescent="0.2">
      <c r="A38" s="30" t="s">
        <v>98</v>
      </c>
      <c r="B38" s="41"/>
      <c r="C38" s="40"/>
      <c r="D38" s="31">
        <f>IF(B38="",0,IF(C38="Weekly",B38*52/12,IF(C38="Bi-weekly",B38*26/12,IF(C38="Monthly",B38,IF(C38="Quarterly",B38/3,IF(C38="Annually",B38/12,0))))))</f>
        <v>0</v>
      </c>
      <c r="E38" s="54">
        <f>IF(Income_Monthly=0,0,D38/Income_Monthly)</f>
        <v>0</v>
      </c>
    </row>
    <row r="39" spans="1:5" x14ac:dyDescent="0.2">
      <c r="A39" s="32"/>
      <c r="B39" s="32"/>
      <c r="C39" s="32"/>
      <c r="D39" s="32"/>
      <c r="E39" s="32"/>
    </row>
    <row r="40" spans="1:5" x14ac:dyDescent="0.2">
      <c r="A40" s="46" t="s">
        <v>21</v>
      </c>
      <c r="B40" s="34"/>
      <c r="C40" s="34"/>
      <c r="D40" s="47">
        <f>SUM(D6:D38)</f>
        <v>0</v>
      </c>
      <c r="E40" s="34"/>
    </row>
    <row r="41" spans="1:5" x14ac:dyDescent="0.2">
      <c r="A41" s="32"/>
      <c r="B41" s="32"/>
      <c r="C41" s="32"/>
      <c r="D41" s="32"/>
      <c r="E41" s="32"/>
    </row>
    <row r="42" spans="1:5" x14ac:dyDescent="0.2">
      <c r="A42" s="46" t="s">
        <v>22</v>
      </c>
      <c r="B42" s="34"/>
      <c r="C42" s="34"/>
      <c r="D42" s="47">
        <f>SUM(D30:D32)</f>
        <v>0</v>
      </c>
      <c r="E42" s="34"/>
    </row>
    <row r="43" spans="1:5" x14ac:dyDescent="0.2">
      <c r="A43" s="32"/>
      <c r="B43" s="32"/>
      <c r="C43" s="32"/>
      <c r="D43" s="32"/>
      <c r="E43" s="32"/>
    </row>
    <row r="44" spans="1:5" x14ac:dyDescent="0.2">
      <c r="A44" s="48" t="s">
        <v>99</v>
      </c>
      <c r="B44" s="49"/>
      <c r="C44" s="49"/>
      <c r="D44" s="49"/>
      <c r="E44" s="49"/>
    </row>
    <row r="45" spans="1:5" x14ac:dyDescent="0.2">
      <c r="A45" s="50" t="s">
        <v>100</v>
      </c>
      <c r="B45" s="50"/>
      <c r="C45" s="50"/>
      <c r="D45" s="50"/>
      <c r="E45" s="50"/>
    </row>
    <row r="46" spans="1:5" x14ac:dyDescent="0.2">
      <c r="A46" s="51" t="s">
        <v>101</v>
      </c>
      <c r="B46" s="51"/>
      <c r="C46" s="51"/>
      <c r="D46" s="51"/>
      <c r="E46" s="51"/>
    </row>
    <row r="47" spans="1:5" x14ac:dyDescent="0.2">
      <c r="A47" s="50" t="s">
        <v>102</v>
      </c>
      <c r="B47" s="50"/>
      <c r="C47" s="50"/>
      <c r="D47" s="50"/>
      <c r="E47" s="50"/>
    </row>
  </sheetData>
  <sheetProtection formatCells="0" formatColumns="0" formatRows="0" insertHyperlinks="0" sort="0" autoFilter="0"/>
  <mergeCells count="5">
    <mergeCell ref="A1:E1"/>
    <mergeCell ref="A44:E44"/>
    <mergeCell ref="A45:E45"/>
    <mergeCell ref="A46:E46"/>
    <mergeCell ref="A47:E47"/>
  </mergeCells>
  <conditionalFormatting sqref="E6:E10">
    <cfRule type="cellIs" dxfId="3" priority="1" stopIfTrue="1" operator="greaterThan">
      <formula>"0.3"</formula>
    </cfRule>
  </conditionalFormatting>
  <conditionalFormatting sqref="E13:E17">
    <cfRule type="cellIs" dxfId="2" priority="2" stopIfTrue="1" operator="greaterThan">
      <formula>"0.15"</formula>
    </cfRule>
  </conditionalFormatting>
  <dataValidations count="1">
    <dataValidation type="list" operator="equal" allowBlank="1" showInputMessage="1" showErrorMessage="1" errorTitle="Invalid frequency" error="Please select from the list of frequencies" promptTitle="Select frequency" prompt="Please select how often this expense occurs" sqref="C6:C38" xr:uid="{AB49CC85-DFA1-394E-826E-963303B6E25D}">
      <formula1>"Weekly,Bi-weekly,Monthly,Quarterly,Annually"</formula1>
    </dataValidation>
  </dataValidations>
  <hyperlinks>
    <hyperlink ref="A2" location="Dashboard!A1" display="« Back to Dashboard" xr:uid="{029AB3E5-5965-5F44-9A8F-16C5B3DDA5A6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06FB1-6921-A149-99D9-B7E41DD8F351}">
  <sheetPr codeName="Sheet4">
    <tabColor rgb="FFC00000"/>
  </sheetPr>
  <dimension ref="A1:G23"/>
  <sheetViews>
    <sheetView workbookViewId="0">
      <selection sqref="A1:G1"/>
    </sheetView>
  </sheetViews>
  <sheetFormatPr baseColWidth="10" defaultRowHeight="16" x14ac:dyDescent="0.2"/>
  <cols>
    <col min="1" max="1" width="30" style="27" bestFit="1" customWidth="1"/>
    <col min="2" max="2" width="14.5" style="27" bestFit="1" customWidth="1"/>
    <col min="3" max="3" width="11.83203125" style="27" bestFit="1" customWidth="1"/>
    <col min="4" max="4" width="16.83203125" style="27" bestFit="1" customWidth="1"/>
    <col min="5" max="5" width="15.33203125" style="27" bestFit="1" customWidth="1"/>
    <col min="6" max="6" width="10.83203125" style="27"/>
    <col min="7" max="7" width="6.1640625" style="27" bestFit="1" customWidth="1"/>
    <col min="8" max="16384" width="10.83203125" style="27"/>
  </cols>
  <sheetData>
    <row r="1" spans="1:7" ht="19" x14ac:dyDescent="0.25">
      <c r="A1" s="57" t="s">
        <v>23</v>
      </c>
      <c r="B1" s="26"/>
      <c r="C1" s="26"/>
      <c r="D1" s="26"/>
      <c r="E1" s="26"/>
      <c r="F1" s="26"/>
      <c r="G1" s="26"/>
    </row>
    <row r="2" spans="1:7" x14ac:dyDescent="0.2">
      <c r="A2" s="28" t="s">
        <v>69</v>
      </c>
    </row>
    <row r="4" spans="1:7" x14ac:dyDescent="0.2">
      <c r="A4" s="29" t="s">
        <v>24</v>
      </c>
      <c r="B4" s="29" t="s">
        <v>25</v>
      </c>
      <c r="C4" s="29" t="s">
        <v>26</v>
      </c>
      <c r="D4" s="29" t="s">
        <v>27</v>
      </c>
      <c r="E4" s="29" t="s">
        <v>103</v>
      </c>
      <c r="F4" s="29" t="s">
        <v>104</v>
      </c>
      <c r="G4" s="29" t="s">
        <v>39</v>
      </c>
    </row>
    <row r="5" spans="1:7" x14ac:dyDescent="0.2">
      <c r="A5" s="30" t="s">
        <v>28</v>
      </c>
      <c r="B5" s="41"/>
      <c r="C5" s="54"/>
      <c r="D5" s="41"/>
      <c r="E5" s="41"/>
      <c r="F5" s="58" t="str">
        <f ca="1">IF(AND(B5&lt;&gt;"",E5&lt;&gt;"",E5&gt;0),TODAY()+IF(C5=0,B5/E5,LOG(1/(1-B5*C5/12/E5))/LOG(1+C5/12))*30.4,"")</f>
        <v/>
      </c>
      <c r="G5" s="40"/>
    </row>
    <row r="6" spans="1:7" x14ac:dyDescent="0.2">
      <c r="A6" s="32" t="s">
        <v>29</v>
      </c>
      <c r="B6" s="43"/>
      <c r="C6" s="55"/>
      <c r="D6" s="43"/>
      <c r="E6" s="43"/>
      <c r="F6" s="59" t="str">
        <f ca="1">IF(AND(B6&lt;&gt;"",E6&lt;&gt;"",E6&gt;0),TODAY()+IF(C6=0,B6/E6,LOG(1/(1-B6*C6/12/E6))/LOG(1+C6/12))*30.4,"")</f>
        <v/>
      </c>
      <c r="G6" s="42"/>
    </row>
    <row r="7" spans="1:7" x14ac:dyDescent="0.2">
      <c r="A7" s="30" t="s">
        <v>105</v>
      </c>
      <c r="B7" s="41"/>
      <c r="C7" s="54"/>
      <c r="D7" s="41"/>
      <c r="E7" s="41"/>
      <c r="F7" s="58" t="str">
        <f ca="1">IF(AND(B7&lt;&gt;"",E7&lt;&gt;"",E7&gt;0),TODAY()+IF(C7=0,B7/E7,LOG(1/(1-B7*C7/12/E7))/LOG(1+C7/12))*30.4,"")</f>
        <v/>
      </c>
      <c r="G7" s="40"/>
    </row>
    <row r="8" spans="1:7" x14ac:dyDescent="0.2">
      <c r="A8" s="32" t="s">
        <v>106</v>
      </c>
      <c r="B8" s="43"/>
      <c r="C8" s="55"/>
      <c r="D8" s="43"/>
      <c r="E8" s="43"/>
      <c r="F8" s="59" t="str">
        <f ca="1">IF(AND(B8&lt;&gt;"",E8&lt;&gt;"",E8&gt;0),TODAY()+IF(C8=0,B8/E8,LOG(1/(1-B8*C8/12/E8))/LOG(1+C8/12))*30.4,"")</f>
        <v/>
      </c>
      <c r="G8" s="42"/>
    </row>
    <row r="9" spans="1:7" x14ac:dyDescent="0.2">
      <c r="A9" s="30" t="s">
        <v>30</v>
      </c>
      <c r="B9" s="41"/>
      <c r="C9" s="54"/>
      <c r="D9" s="41"/>
      <c r="E9" s="41"/>
      <c r="F9" s="58" t="str">
        <f ca="1">IF(AND(B9&lt;&gt;"",E9&lt;&gt;"",E9&gt;0),TODAY()+IF(C9=0,B9/E9,LOG(1/(1-B9*C9/12/E9))/LOG(1+C9/12))*30.4,"")</f>
        <v/>
      </c>
      <c r="G9" s="40"/>
    </row>
    <row r="10" spans="1:7" x14ac:dyDescent="0.2">
      <c r="A10" s="32" t="s">
        <v>31</v>
      </c>
      <c r="B10" s="43"/>
      <c r="C10" s="55"/>
      <c r="D10" s="43"/>
      <c r="E10" s="43"/>
      <c r="F10" s="59" t="str">
        <f ca="1">IF(AND(B10&lt;&gt;"",E10&lt;&gt;"",E10&gt;0),TODAY()+IF(C10=0,B10/E10,LOG(1/(1-B10*C10/12/E10))/LOG(1+C10/12))*30.4,"")</f>
        <v/>
      </c>
      <c r="G10" s="42"/>
    </row>
    <row r="11" spans="1:7" x14ac:dyDescent="0.2">
      <c r="A11" s="30" t="s">
        <v>32</v>
      </c>
      <c r="B11" s="41"/>
      <c r="C11" s="54"/>
      <c r="D11" s="41"/>
      <c r="E11" s="41"/>
      <c r="F11" s="58" t="str">
        <f ca="1">IF(AND(B11&lt;&gt;"",E11&lt;&gt;"",E11&gt;0),TODAY()+IF(C11=0,B11/E11,LOG(1/(1-B11*C11/12/E11))/LOG(1+C11/12))*30.4,"")</f>
        <v/>
      </c>
      <c r="G11" s="40"/>
    </row>
    <row r="12" spans="1:7" x14ac:dyDescent="0.2">
      <c r="A12" s="32" t="s">
        <v>33</v>
      </c>
      <c r="B12" s="43"/>
      <c r="C12" s="55"/>
      <c r="D12" s="43"/>
      <c r="E12" s="43"/>
      <c r="F12" s="59" t="str">
        <f ca="1">IF(AND(B12&lt;&gt;"",E12&lt;&gt;"",E12&gt;0),TODAY()+IF(C12=0,B12/E12,LOG(1/(1-B12*C12/12/E12))/LOG(1+C12/12))*30.4,"")</f>
        <v/>
      </c>
      <c r="G12" s="42"/>
    </row>
    <row r="13" spans="1:7" x14ac:dyDescent="0.2">
      <c r="A13" s="30" t="s">
        <v>107</v>
      </c>
      <c r="B13" s="41"/>
      <c r="C13" s="54"/>
      <c r="D13" s="41"/>
      <c r="E13" s="41"/>
      <c r="F13" s="58" t="str">
        <f ca="1">IF(AND(B13&lt;&gt;"",E13&lt;&gt;"",E13&gt;0),TODAY()+IF(C13=0,B13/E13,LOG(1/(1-B13*C13/12/E13))/LOG(1+C13/12))*30.4,"")</f>
        <v/>
      </c>
      <c r="G13" s="40"/>
    </row>
    <row r="14" spans="1:7" x14ac:dyDescent="0.2">
      <c r="A14" s="32" t="s">
        <v>108</v>
      </c>
      <c r="B14" s="43"/>
      <c r="C14" s="55"/>
      <c r="D14" s="43"/>
      <c r="E14" s="43"/>
      <c r="F14" s="59" t="str">
        <f ca="1">IF(AND(B14&lt;&gt;"",E14&lt;&gt;"",E14&gt;0),TODAY()+IF(C14=0,B14/E14,LOG(1/(1-B14*C14/12/E14))/LOG(1+C14/12))*30.4,"")</f>
        <v/>
      </c>
      <c r="G14" s="42"/>
    </row>
    <row r="15" spans="1:7" x14ac:dyDescent="0.2">
      <c r="A15" s="34"/>
      <c r="B15" s="34"/>
      <c r="C15" s="34"/>
      <c r="D15" s="34"/>
      <c r="E15" s="34"/>
      <c r="F15" s="34"/>
      <c r="G15" s="34"/>
    </row>
    <row r="16" spans="1:7" x14ac:dyDescent="0.2">
      <c r="A16" s="46" t="s">
        <v>34</v>
      </c>
      <c r="B16" s="47">
        <f>SUM(B5:B14)</f>
        <v>0</v>
      </c>
      <c r="C16" s="34"/>
      <c r="D16" s="34"/>
      <c r="E16" s="34"/>
      <c r="F16" s="34"/>
      <c r="G16" s="34"/>
    </row>
    <row r="17" spans="1:7" x14ac:dyDescent="0.2">
      <c r="A17" s="35" t="s">
        <v>35</v>
      </c>
      <c r="B17" s="36"/>
      <c r="C17" s="36"/>
      <c r="D17" s="36"/>
      <c r="E17" s="37">
        <f>SUM(E5:E14)</f>
        <v>0</v>
      </c>
      <c r="F17" s="36"/>
      <c r="G17" s="36"/>
    </row>
    <row r="19" spans="1:7" x14ac:dyDescent="0.2">
      <c r="A19" s="38" t="s">
        <v>109</v>
      </c>
      <c r="B19" s="39"/>
      <c r="C19" s="39"/>
      <c r="D19" s="39"/>
      <c r="E19" s="39"/>
      <c r="F19" s="39"/>
      <c r="G19" s="39"/>
    </row>
    <row r="20" spans="1:7" x14ac:dyDescent="0.2">
      <c r="A20" s="39" t="s">
        <v>110</v>
      </c>
      <c r="B20" s="39"/>
      <c r="C20" s="39"/>
      <c r="D20" s="39"/>
      <c r="E20" s="39"/>
      <c r="F20" s="39"/>
      <c r="G20" s="39"/>
    </row>
    <row r="21" spans="1:7" x14ac:dyDescent="0.2">
      <c r="A21" s="39" t="s">
        <v>111</v>
      </c>
      <c r="B21" s="39"/>
      <c r="C21" s="39"/>
      <c r="D21" s="39"/>
      <c r="E21" s="39"/>
      <c r="F21" s="39"/>
      <c r="G21" s="39"/>
    </row>
    <row r="22" spans="1:7" x14ac:dyDescent="0.2">
      <c r="A22" s="39" t="s">
        <v>112</v>
      </c>
      <c r="B22" s="39"/>
      <c r="C22" s="39"/>
      <c r="D22" s="39"/>
      <c r="E22" s="39"/>
      <c r="F22" s="39"/>
      <c r="G22" s="39"/>
    </row>
    <row r="23" spans="1:7" x14ac:dyDescent="0.2">
      <c r="A23" s="39" t="s">
        <v>113</v>
      </c>
      <c r="B23" s="39"/>
      <c r="C23" s="39"/>
      <c r="D23" s="39"/>
      <c r="E23" s="39"/>
      <c r="F23" s="39"/>
      <c r="G23" s="39"/>
    </row>
  </sheetData>
  <sheetProtection formatCells="0" formatColumns="0" formatRows="0" insertHyperlinks="0" sort="0" autoFilter="0"/>
  <mergeCells count="6">
    <mergeCell ref="A1:G1"/>
    <mergeCell ref="A19:G19"/>
    <mergeCell ref="A20:G20"/>
    <mergeCell ref="A21:G21"/>
    <mergeCell ref="A22:G22"/>
    <mergeCell ref="A23:G23"/>
  </mergeCells>
  <conditionalFormatting sqref="C5:C14">
    <cfRule type="cellIs" dxfId="1" priority="1" stopIfTrue="1" operator="greaterThan">
      <formula>"0.1"</formula>
    </cfRule>
  </conditionalFormatting>
  <hyperlinks>
    <hyperlink ref="A2" location="Dashboard!A1" display="« Back to Dashboard" xr:uid="{C2D96F5E-569C-6E4C-A89B-D7FDE7DCBF45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E2854-7410-5C48-A5CF-D775961C15B1}">
  <sheetPr codeName="Sheet5">
    <tabColor rgb="FF00B0F0"/>
  </sheetPr>
  <dimension ref="A1:F32"/>
  <sheetViews>
    <sheetView tabSelected="1" workbookViewId="0">
      <selection activeCell="F15" sqref="F15"/>
    </sheetView>
  </sheetViews>
  <sheetFormatPr baseColWidth="10" defaultRowHeight="16" x14ac:dyDescent="0.2"/>
  <cols>
    <col min="1" max="1" width="27.6640625" style="27" bestFit="1" customWidth="1"/>
    <col min="2" max="2" width="12.5" style="27" bestFit="1" customWidth="1"/>
    <col min="3" max="3" width="18.5" style="27" bestFit="1" customWidth="1"/>
    <col min="4" max="4" width="17.5" style="27" bestFit="1" customWidth="1"/>
    <col min="5" max="5" width="6.1640625" style="27" bestFit="1" customWidth="1"/>
    <col min="6" max="6" width="12.33203125" style="27" bestFit="1" customWidth="1"/>
    <col min="7" max="16384" width="10.83203125" style="27"/>
  </cols>
  <sheetData>
    <row r="1" spans="1:6" ht="19" x14ac:dyDescent="0.25">
      <c r="A1" s="60" t="s">
        <v>36</v>
      </c>
      <c r="B1" s="26"/>
      <c r="C1" s="26"/>
      <c r="D1" s="26"/>
      <c r="E1" s="26"/>
      <c r="F1" s="26"/>
    </row>
    <row r="2" spans="1:6" x14ac:dyDescent="0.2">
      <c r="A2" s="28" t="s">
        <v>69</v>
      </c>
    </row>
    <row r="4" spans="1:6" x14ac:dyDescent="0.2">
      <c r="A4" s="29" t="s">
        <v>37</v>
      </c>
      <c r="B4" s="29" t="s">
        <v>38</v>
      </c>
      <c r="C4" s="29" t="s">
        <v>114</v>
      </c>
      <c r="D4" s="29" t="s">
        <v>115</v>
      </c>
      <c r="E4" s="29" t="s">
        <v>39</v>
      </c>
      <c r="F4" s="29" t="s">
        <v>116</v>
      </c>
    </row>
    <row r="5" spans="1:6" x14ac:dyDescent="0.2">
      <c r="A5" s="29" t="s">
        <v>40</v>
      </c>
      <c r="B5" s="34"/>
      <c r="C5" s="34"/>
      <c r="D5" s="34"/>
      <c r="E5" s="34"/>
      <c r="F5" s="34"/>
    </row>
    <row r="6" spans="1:6" x14ac:dyDescent="0.2">
      <c r="A6" s="30" t="s">
        <v>117</v>
      </c>
      <c r="B6" s="41"/>
      <c r="C6" s="41"/>
      <c r="D6" s="54"/>
      <c r="E6" s="40"/>
      <c r="F6" s="40" t="s">
        <v>129</v>
      </c>
    </row>
    <row r="7" spans="1:6" x14ac:dyDescent="0.2">
      <c r="A7" s="32" t="s">
        <v>118</v>
      </c>
      <c r="B7" s="43"/>
      <c r="C7" s="43"/>
      <c r="D7" s="55"/>
      <c r="E7" s="42"/>
      <c r="F7" s="42" t="s">
        <v>129</v>
      </c>
    </row>
    <row r="8" spans="1:6" x14ac:dyDescent="0.2">
      <c r="A8" s="30" t="s">
        <v>92</v>
      </c>
      <c r="B8" s="41"/>
      <c r="C8" s="41"/>
      <c r="D8" s="54"/>
      <c r="E8" s="40"/>
      <c r="F8" s="40" t="s">
        <v>129</v>
      </c>
    </row>
    <row r="9" spans="1:6" x14ac:dyDescent="0.2">
      <c r="A9" s="32" t="s">
        <v>119</v>
      </c>
      <c r="B9" s="43"/>
      <c r="C9" s="43"/>
      <c r="D9" s="55"/>
      <c r="E9" s="42"/>
      <c r="F9" s="42" t="s">
        <v>129</v>
      </c>
    </row>
    <row r="10" spans="1:6" x14ac:dyDescent="0.2">
      <c r="A10" s="30"/>
      <c r="B10" s="41"/>
      <c r="C10" s="41"/>
      <c r="D10" s="54"/>
      <c r="E10" s="40"/>
      <c r="F10" s="40"/>
    </row>
    <row r="11" spans="1:6" x14ac:dyDescent="0.2">
      <c r="A11" s="29" t="s">
        <v>41</v>
      </c>
      <c r="B11" s="52"/>
      <c r="C11" s="52"/>
      <c r="D11" s="56"/>
      <c r="E11" s="53"/>
      <c r="F11" s="53"/>
    </row>
    <row r="12" spans="1:6" x14ac:dyDescent="0.2">
      <c r="A12" s="30" t="s">
        <v>120</v>
      </c>
      <c r="B12" s="41"/>
      <c r="C12" s="41"/>
      <c r="D12" s="54"/>
      <c r="E12" s="40"/>
      <c r="F12" s="40" t="s">
        <v>129</v>
      </c>
    </row>
    <row r="13" spans="1:6" x14ac:dyDescent="0.2">
      <c r="A13" s="32" t="s">
        <v>121</v>
      </c>
      <c r="B13" s="43"/>
      <c r="C13" s="43"/>
      <c r="D13" s="55"/>
      <c r="E13" s="42"/>
      <c r="F13" s="42" t="s">
        <v>129</v>
      </c>
    </row>
    <row r="14" spans="1:6" x14ac:dyDescent="0.2">
      <c r="A14" s="30" t="s">
        <v>122</v>
      </c>
      <c r="B14" s="41"/>
      <c r="C14" s="41"/>
      <c r="D14" s="54"/>
      <c r="E14" s="40"/>
      <c r="F14" s="40" t="s">
        <v>129</v>
      </c>
    </row>
    <row r="15" spans="1:6" x14ac:dyDescent="0.2">
      <c r="A15" s="32" t="s">
        <v>123</v>
      </c>
      <c r="B15" s="43">
        <v>10000</v>
      </c>
      <c r="C15" s="43"/>
      <c r="D15" s="55"/>
      <c r="E15" s="42"/>
      <c r="F15" s="42" t="s">
        <v>129</v>
      </c>
    </row>
    <row r="16" spans="1:6" x14ac:dyDescent="0.2">
      <c r="A16" s="30"/>
      <c r="B16" s="41"/>
      <c r="C16" s="41"/>
      <c r="D16" s="54"/>
      <c r="E16" s="40"/>
      <c r="F16" s="40"/>
    </row>
    <row r="17" spans="1:6" x14ac:dyDescent="0.2">
      <c r="A17" s="29" t="s">
        <v>42</v>
      </c>
      <c r="B17" s="52"/>
      <c r="C17" s="52"/>
      <c r="D17" s="56"/>
      <c r="E17" s="53"/>
      <c r="F17" s="53"/>
    </row>
    <row r="18" spans="1:6" x14ac:dyDescent="0.2">
      <c r="A18" s="30" t="s">
        <v>124</v>
      </c>
      <c r="B18" s="41"/>
      <c r="C18" s="41"/>
      <c r="D18" s="54"/>
      <c r="E18" s="40"/>
      <c r="F18" s="40" t="s">
        <v>130</v>
      </c>
    </row>
    <row r="19" spans="1:6" x14ac:dyDescent="0.2">
      <c r="A19" s="32" t="s">
        <v>125</v>
      </c>
      <c r="B19" s="43"/>
      <c r="C19" s="43"/>
      <c r="D19" s="55"/>
      <c r="E19" s="42"/>
      <c r="F19" s="42" t="s">
        <v>130</v>
      </c>
    </row>
    <row r="20" spans="1:6" x14ac:dyDescent="0.2">
      <c r="A20" s="30" t="s">
        <v>126</v>
      </c>
      <c r="B20" s="41"/>
      <c r="C20" s="41"/>
      <c r="D20" s="54"/>
      <c r="E20" s="40"/>
      <c r="F20" s="40" t="s">
        <v>130</v>
      </c>
    </row>
    <row r="21" spans="1:6" x14ac:dyDescent="0.2">
      <c r="A21" s="32" t="s">
        <v>127</v>
      </c>
      <c r="B21" s="43"/>
      <c r="C21" s="43"/>
      <c r="D21" s="55"/>
      <c r="E21" s="42"/>
      <c r="F21" s="42" t="s">
        <v>130</v>
      </c>
    </row>
    <row r="22" spans="1:6" x14ac:dyDescent="0.2">
      <c r="A22" s="30" t="s">
        <v>128</v>
      </c>
      <c r="B22" s="41"/>
      <c r="C22" s="41"/>
      <c r="D22" s="54"/>
      <c r="E22" s="40"/>
      <c r="F22" s="40" t="s">
        <v>130</v>
      </c>
    </row>
    <row r="23" spans="1:6" x14ac:dyDescent="0.2">
      <c r="A23" s="32"/>
      <c r="B23" s="32"/>
      <c r="C23" s="32"/>
      <c r="D23" s="32"/>
      <c r="E23" s="32"/>
      <c r="F23" s="32"/>
    </row>
    <row r="24" spans="1:6" x14ac:dyDescent="0.2">
      <c r="A24" s="46" t="s">
        <v>43</v>
      </c>
      <c r="B24" s="47">
        <f>SUM(B6:B22)</f>
        <v>10000</v>
      </c>
      <c r="C24" s="34"/>
      <c r="D24" s="34"/>
      <c r="E24" s="34"/>
      <c r="F24" s="34"/>
    </row>
    <row r="25" spans="1:6" x14ac:dyDescent="0.2">
      <c r="A25" s="32"/>
      <c r="B25" s="32"/>
      <c r="C25" s="32"/>
      <c r="D25" s="32"/>
      <c r="E25" s="32"/>
      <c r="F25" s="32"/>
    </row>
    <row r="26" spans="1:6" x14ac:dyDescent="0.2">
      <c r="A26" s="46" t="s">
        <v>131</v>
      </c>
      <c r="B26" s="47">
        <f>SUMIF(F6:F22,"Liquid",B6:B22)</f>
        <v>10000</v>
      </c>
      <c r="C26" s="34"/>
      <c r="D26" s="34"/>
      <c r="E26" s="34"/>
      <c r="F26" s="34"/>
    </row>
    <row r="27" spans="1:6" x14ac:dyDescent="0.2">
      <c r="A27" s="46" t="s">
        <v>132</v>
      </c>
      <c r="B27" s="47">
        <f>SUMIF(F6:F22,"Illiquid",B6:B22)</f>
        <v>0</v>
      </c>
      <c r="C27" s="34"/>
      <c r="D27" s="34"/>
      <c r="E27" s="34"/>
      <c r="F27" s="34"/>
    </row>
    <row r="28" spans="1:6" x14ac:dyDescent="0.2">
      <c r="A28" s="30"/>
      <c r="B28" s="30"/>
      <c r="C28" s="30"/>
      <c r="D28" s="30"/>
      <c r="E28" s="30"/>
      <c r="F28" s="30"/>
    </row>
    <row r="29" spans="1:6" x14ac:dyDescent="0.2">
      <c r="A29" s="48" t="s">
        <v>133</v>
      </c>
      <c r="B29" s="49"/>
      <c r="C29" s="49"/>
      <c r="D29" s="49"/>
      <c r="E29" s="49"/>
      <c r="F29" s="49"/>
    </row>
    <row r="30" spans="1:6" x14ac:dyDescent="0.2">
      <c r="A30" s="49" t="s">
        <v>134</v>
      </c>
      <c r="B30" s="49"/>
      <c r="C30" s="49"/>
      <c r="D30" s="49"/>
      <c r="E30" s="49"/>
      <c r="F30" s="49"/>
    </row>
    <row r="31" spans="1:6" x14ac:dyDescent="0.2">
      <c r="A31" s="49" t="s">
        <v>135</v>
      </c>
      <c r="B31" s="49"/>
      <c r="C31" s="49"/>
      <c r="D31" s="49"/>
      <c r="E31" s="49"/>
      <c r="F31" s="49"/>
    </row>
    <row r="32" spans="1:6" x14ac:dyDescent="0.2">
      <c r="A32" s="49" t="s">
        <v>136</v>
      </c>
      <c r="B32" s="49"/>
      <c r="C32" s="49"/>
      <c r="D32" s="49"/>
      <c r="E32" s="49"/>
      <c r="F32" s="49"/>
    </row>
  </sheetData>
  <sheetProtection formatCells="0" formatColumns="0" formatRows="0" insertHyperlinks="0" sort="0" autoFilter="0"/>
  <mergeCells count="5">
    <mergeCell ref="A1:F1"/>
    <mergeCell ref="A29:F29"/>
    <mergeCell ref="A30:F30"/>
    <mergeCell ref="A31:F31"/>
    <mergeCell ref="A32:F32"/>
  </mergeCells>
  <dataValidations count="1">
    <dataValidation type="list" operator="equal" allowBlank="1" showInputMessage="1" showErrorMessage="1" errorTitle="Invalid selection" error="Please select Liquid or Illiquid from the list" promptTitle="Asset Liquidity" prompt="Is this asset liquid (easily converted to cash)?" sqref="F6:F22" xr:uid="{7FBE7686-ECD2-D841-AD6F-D17DFE8BA9C2}">
      <formula1>"Liquid,Illiquid"</formula1>
    </dataValidation>
  </dataValidations>
  <hyperlinks>
    <hyperlink ref="A2" location="Dashboard!A1" display="« Back to Dashboard" xr:uid="{35626821-F0BD-E64D-B280-3BC5AF865F72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64BBB-6FBC-404B-AD78-FBD0E1F437DA}">
  <sheetPr codeName="Sheet6">
    <tabColor rgb="FF7030A0"/>
  </sheetPr>
  <dimension ref="A1:E33"/>
  <sheetViews>
    <sheetView workbookViewId="0">
      <selection sqref="A1:E1"/>
    </sheetView>
  </sheetViews>
  <sheetFormatPr baseColWidth="10" defaultRowHeight="16" x14ac:dyDescent="0.2"/>
  <cols>
    <col min="1" max="1" width="38.33203125" style="27" bestFit="1" customWidth="1"/>
    <col min="2" max="2" width="11" style="27" bestFit="1" customWidth="1"/>
    <col min="3" max="16384" width="10.83203125" style="27"/>
  </cols>
  <sheetData>
    <row r="1" spans="1:5" ht="19" x14ac:dyDescent="0.25">
      <c r="A1" s="61" t="s">
        <v>137</v>
      </c>
      <c r="B1" s="26"/>
      <c r="C1" s="26"/>
      <c r="D1" s="26"/>
      <c r="E1" s="26"/>
    </row>
    <row r="2" spans="1:5" x14ac:dyDescent="0.2">
      <c r="A2" s="28" t="s">
        <v>69</v>
      </c>
    </row>
    <row r="4" spans="1:5" x14ac:dyDescent="0.2">
      <c r="A4" s="38" t="s">
        <v>138</v>
      </c>
      <c r="B4" s="39"/>
      <c r="C4" s="39"/>
      <c r="D4" s="39"/>
      <c r="E4" s="39"/>
    </row>
    <row r="6" spans="1:5" x14ac:dyDescent="0.2">
      <c r="A6" s="62" t="s">
        <v>139</v>
      </c>
      <c r="B6" s="67">
        <f>Expenses_Monthly</f>
        <v>0</v>
      </c>
    </row>
    <row r="7" spans="1:5" x14ac:dyDescent="0.2">
      <c r="A7" s="62" t="s">
        <v>140</v>
      </c>
      <c r="B7" s="65">
        <v>-0.1</v>
      </c>
    </row>
    <row r="8" spans="1:5" x14ac:dyDescent="0.2">
      <c r="A8" s="62" t="s">
        <v>141</v>
      </c>
      <c r="B8" s="66">
        <v>0.04</v>
      </c>
    </row>
    <row r="9" spans="1:5" x14ac:dyDescent="0.2">
      <c r="A9" s="62" t="s">
        <v>142</v>
      </c>
      <c r="B9" s="67">
        <f>Assets_Total</f>
        <v>10000</v>
      </c>
    </row>
    <row r="10" spans="1:5" x14ac:dyDescent="0.2">
      <c r="A10" s="62" t="s">
        <v>143</v>
      </c>
      <c r="B10" s="67">
        <f>Savings_Monthly</f>
        <v>0</v>
      </c>
    </row>
    <row r="11" spans="1:5" x14ac:dyDescent="0.2">
      <c r="A11" s="62" t="s">
        <v>144</v>
      </c>
      <c r="B11" s="66">
        <v>7.0000000000000007E-2</v>
      </c>
    </row>
    <row r="12" spans="1:5" x14ac:dyDescent="0.2">
      <c r="A12" s="62" t="s">
        <v>145</v>
      </c>
      <c r="B12" s="66">
        <v>0.03</v>
      </c>
    </row>
    <row r="14" spans="1:5" x14ac:dyDescent="0.2">
      <c r="A14" s="38" t="s">
        <v>146</v>
      </c>
      <c r="B14" s="39"/>
      <c r="C14" s="39"/>
      <c r="D14" s="39"/>
      <c r="E14" s="39"/>
    </row>
    <row r="16" spans="1:5" x14ac:dyDescent="0.2">
      <c r="A16" s="62" t="s">
        <v>147</v>
      </c>
      <c r="B16" s="63">
        <f>B6*12*(1+B7)/(B8)</f>
        <v>0</v>
      </c>
    </row>
    <row r="17" spans="1:5" x14ac:dyDescent="0.2">
      <c r="A17" s="62" t="s">
        <v>148</v>
      </c>
      <c r="B17" s="64">
        <f>IF(B16-B9&lt;=0,0,IF(OR(B10&lt;=0,B11&lt;=B12),999,LOG(1+(B16-B9)*(B11-B12)/(B10*12))/LOG(1+(B11-B12))))</f>
        <v>0</v>
      </c>
    </row>
    <row r="18" spans="1:5" x14ac:dyDescent="0.2">
      <c r="A18" s="62" t="s">
        <v>149</v>
      </c>
      <c r="B18" s="63">
        <f>B16*B8/12</f>
        <v>0</v>
      </c>
    </row>
    <row r="20" spans="1:5" x14ac:dyDescent="0.2">
      <c r="A20" s="38" t="s">
        <v>150</v>
      </c>
      <c r="B20" s="39"/>
      <c r="C20" s="39"/>
      <c r="D20" s="39"/>
      <c r="E20" s="39"/>
    </row>
    <row r="22" spans="1:5" x14ac:dyDescent="0.2">
      <c r="A22" s="62" t="s">
        <v>151</v>
      </c>
      <c r="B22" s="67" t="s">
        <v>152</v>
      </c>
    </row>
    <row r="23" spans="1:5" x14ac:dyDescent="0.2">
      <c r="A23" s="62" t="s">
        <v>153</v>
      </c>
      <c r="B23" s="64">
        <f>IF(B16-B9&lt;=0,0,IF(OR(B10+B22&lt;=0,B11&lt;=B12),999,LOG(1+(B16-B9)*(B11-B12)/((B10+B22)*12))/LOG(1+(B11-B12))))</f>
        <v>0</v>
      </c>
    </row>
    <row r="24" spans="1:5" x14ac:dyDescent="0.2">
      <c r="A24" s="62" t="s">
        <v>154</v>
      </c>
      <c r="B24" s="64">
        <f>MAX(0,B17-B23)</f>
        <v>0</v>
      </c>
    </row>
    <row r="26" spans="1:5" x14ac:dyDescent="0.2">
      <c r="A26" s="62" t="s">
        <v>155</v>
      </c>
      <c r="B26" s="67" t="s">
        <v>156</v>
      </c>
    </row>
    <row r="27" spans="1:5" x14ac:dyDescent="0.2">
      <c r="A27" s="62" t="s">
        <v>157</v>
      </c>
      <c r="B27" s="63" t="e">
        <f>(B6-B26)*12*(1+B7)/(B8)</f>
        <v>#VALUE!</v>
      </c>
    </row>
    <row r="28" spans="1:5" x14ac:dyDescent="0.2">
      <c r="A28" s="62" t="s">
        <v>153</v>
      </c>
      <c r="B28" s="64" t="e">
        <f>IF(B27-B9&lt;=0,0,IF(OR(B10&lt;=0,B11&lt;=B12),999,LOG(1+(B27-B9)*(B11-B12)/(B10*12))/LOG(1+(B11-B12))))</f>
        <v>#VALUE!</v>
      </c>
    </row>
    <row r="30" spans="1:5" x14ac:dyDescent="0.2">
      <c r="A30" s="38" t="s">
        <v>158</v>
      </c>
      <c r="B30" s="39"/>
      <c r="C30" s="39"/>
      <c r="D30" s="39"/>
      <c r="E30" s="39"/>
    </row>
    <row r="31" spans="1:5" x14ac:dyDescent="0.2">
      <c r="A31" s="39" t="s">
        <v>159</v>
      </c>
      <c r="B31" s="39"/>
      <c r="C31" s="39"/>
      <c r="D31" s="39"/>
      <c r="E31" s="39"/>
    </row>
    <row r="32" spans="1:5" x14ac:dyDescent="0.2">
      <c r="A32" s="39" t="s">
        <v>160</v>
      </c>
      <c r="B32" s="39"/>
      <c r="C32" s="39"/>
      <c r="D32" s="39"/>
      <c r="E32" s="39"/>
    </row>
    <row r="33" spans="1:5" x14ac:dyDescent="0.2">
      <c r="A33" s="39" t="s">
        <v>161</v>
      </c>
      <c r="B33" s="39"/>
      <c r="C33" s="39"/>
      <c r="D33" s="39"/>
      <c r="E33" s="39"/>
    </row>
  </sheetData>
  <sheetProtection formatCells="0" formatColumns="0" formatRows="0" insertHyperlinks="0" sort="0" autoFilter="0"/>
  <mergeCells count="8">
    <mergeCell ref="A32:E32"/>
    <mergeCell ref="A33:E33"/>
    <mergeCell ref="A1:E1"/>
    <mergeCell ref="A4:E4"/>
    <mergeCell ref="A14:E14"/>
    <mergeCell ref="A20:E20"/>
    <mergeCell ref="A30:E30"/>
    <mergeCell ref="A31:E31"/>
  </mergeCells>
  <hyperlinks>
    <hyperlink ref="A2" location="Dashboard!A1" display="« Back to Dashboard" xr:uid="{F94EC469-10DA-2743-913E-78DD36C9FE4F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D68D7-271A-5247-AE5D-018C5F704198}">
  <sheetPr codeName="Sheet7">
    <tabColor rgb="FFFFC000"/>
  </sheetPr>
  <dimension ref="A1:E39"/>
  <sheetViews>
    <sheetView workbookViewId="0">
      <selection sqref="A1:E1"/>
    </sheetView>
  </sheetViews>
  <sheetFormatPr baseColWidth="10" defaultRowHeight="16" x14ac:dyDescent="0.2"/>
  <cols>
    <col min="1" max="1" width="52.1640625" style="27" bestFit="1" customWidth="1"/>
    <col min="2" max="3" width="10.83203125" style="27"/>
    <col min="4" max="4" width="13.5" style="27" bestFit="1" customWidth="1"/>
    <col min="5" max="16384" width="10.83203125" style="27"/>
  </cols>
  <sheetData>
    <row r="1" spans="1:5" ht="19" x14ac:dyDescent="0.25">
      <c r="A1" s="68" t="s">
        <v>162</v>
      </c>
      <c r="B1" s="26"/>
      <c r="C1" s="26"/>
      <c r="D1" s="26"/>
      <c r="E1" s="26"/>
    </row>
    <row r="2" spans="1:5" x14ac:dyDescent="0.2">
      <c r="A2" s="28" t="s">
        <v>69</v>
      </c>
    </row>
    <row r="4" spans="1:5" x14ac:dyDescent="0.2">
      <c r="A4" s="38" t="s">
        <v>163</v>
      </c>
      <c r="B4" s="39"/>
      <c r="C4" s="39"/>
      <c r="D4" s="39"/>
      <c r="E4" s="39"/>
    </row>
    <row r="5" spans="1:5" x14ac:dyDescent="0.2">
      <c r="A5" s="27" t="s">
        <v>1</v>
      </c>
      <c r="D5" s="27" t="str">
        <f>IF(Dashboard!D10&lt;0.15,"HIGH PRIORITY","Standard")</f>
        <v>HIGH PRIORITY</v>
      </c>
    </row>
    <row r="6" spans="1:5" x14ac:dyDescent="0.2">
      <c r="A6" s="27" t="s">
        <v>164</v>
      </c>
      <c r="D6" s="27" t="str">
        <f>IF(Dashboard!D8&lt;0,"HIGH PRIORITY","Standard")</f>
        <v>Standard</v>
      </c>
    </row>
    <row r="7" spans="1:5" x14ac:dyDescent="0.2">
      <c r="A7" s="27" t="s">
        <v>165</v>
      </c>
      <c r="D7" s="27" t="str">
        <f>IF(Dashboard!D10&lt;0.15,"HIGH PRIORITY","Standard")</f>
        <v>HIGH PRIORITY</v>
      </c>
    </row>
    <row r="8" spans="1:5" x14ac:dyDescent="0.2">
      <c r="A8" s="27" t="s">
        <v>166</v>
      </c>
      <c r="D8" s="27" t="s">
        <v>167</v>
      </c>
    </row>
    <row r="10" spans="1:5" x14ac:dyDescent="0.2">
      <c r="A10" s="38" t="s">
        <v>182</v>
      </c>
      <c r="B10" s="39"/>
      <c r="C10" s="39"/>
      <c r="D10" s="39"/>
      <c r="E10" s="39"/>
    </row>
    <row r="11" spans="1:5" x14ac:dyDescent="0.2">
      <c r="A11" s="27" t="s">
        <v>168</v>
      </c>
      <c r="D11" s="27" t="str">
        <f>IF(Dashboard!D9&gt;0.3,"HIGH PRIORITY","Standard")</f>
        <v>Standard</v>
      </c>
    </row>
    <row r="12" spans="1:5" x14ac:dyDescent="0.2">
      <c r="A12" s="27" t="s">
        <v>169</v>
      </c>
      <c r="D12" s="27" t="str">
        <f>IF(Dashboard!D9&gt;0.3,"HIGH PRIORITY","Standard")</f>
        <v>Standard</v>
      </c>
    </row>
    <row r="13" spans="1:5" x14ac:dyDescent="0.2">
      <c r="A13" s="27" t="s">
        <v>170</v>
      </c>
      <c r="D13" s="27" t="str">
        <f>IF(Dashboard!D8&lt;0,"HIGH PRIORITY","Standard")</f>
        <v>Standard</v>
      </c>
    </row>
    <row r="16" spans="1:5" x14ac:dyDescent="0.2">
      <c r="A16" s="38" t="s">
        <v>171</v>
      </c>
      <c r="B16" s="39"/>
      <c r="C16" s="39"/>
      <c r="D16" s="39"/>
      <c r="E16" s="39"/>
    </row>
    <row r="17" spans="1:5" x14ac:dyDescent="0.2">
      <c r="A17" s="27" t="s">
        <v>183</v>
      </c>
      <c r="D17" s="27" t="s">
        <v>167</v>
      </c>
    </row>
    <row r="18" spans="1:5" x14ac:dyDescent="0.2">
      <c r="A18" s="27" t="s">
        <v>184</v>
      </c>
      <c r="D18" s="27" t="s">
        <v>167</v>
      </c>
    </row>
    <row r="22" spans="1:5" x14ac:dyDescent="0.2">
      <c r="A22" s="38" t="s">
        <v>172</v>
      </c>
      <c r="B22" s="39"/>
      <c r="C22" s="39"/>
      <c r="D22" s="39"/>
      <c r="E22" s="39"/>
    </row>
    <row r="24" spans="1:5" x14ac:dyDescent="0.2">
      <c r="A24" s="27" t="s">
        <v>173</v>
      </c>
    </row>
    <row r="25" spans="1:5" x14ac:dyDescent="0.2">
      <c r="A25" s="69" t="s">
        <v>174</v>
      </c>
    </row>
    <row r="27" spans="1:5" x14ac:dyDescent="0.2">
      <c r="A27" s="27" t="s">
        <v>175</v>
      </c>
    </row>
    <row r="28" spans="1:5" x14ac:dyDescent="0.2">
      <c r="A28" s="69" t="s">
        <v>174</v>
      </c>
    </row>
    <row r="30" spans="1:5" x14ac:dyDescent="0.2">
      <c r="A30" s="27" t="s">
        <v>176</v>
      </c>
    </row>
    <row r="31" spans="1:5" x14ac:dyDescent="0.2">
      <c r="A31" s="69" t="s">
        <v>174</v>
      </c>
    </row>
    <row r="33" spans="1:5" x14ac:dyDescent="0.2">
      <c r="A33" s="27" t="s">
        <v>177</v>
      </c>
    </row>
    <row r="34" spans="1:5" x14ac:dyDescent="0.2">
      <c r="A34" s="69" t="s">
        <v>174</v>
      </c>
    </row>
    <row r="36" spans="1:5" x14ac:dyDescent="0.2">
      <c r="A36" s="38" t="s">
        <v>178</v>
      </c>
      <c r="B36" s="39"/>
      <c r="C36" s="39"/>
      <c r="D36" s="39"/>
      <c r="E36" s="39"/>
    </row>
    <row r="37" spans="1:5" x14ac:dyDescent="0.2">
      <c r="A37" s="39" t="s">
        <v>179</v>
      </c>
      <c r="B37" s="39"/>
      <c r="C37" s="39"/>
      <c r="D37" s="39"/>
      <c r="E37" s="39"/>
    </row>
    <row r="38" spans="1:5" x14ac:dyDescent="0.2">
      <c r="A38" s="39" t="s">
        <v>180</v>
      </c>
      <c r="B38" s="39"/>
      <c r="C38" s="39"/>
      <c r="D38" s="39"/>
      <c r="E38" s="39"/>
    </row>
    <row r="39" spans="1:5" x14ac:dyDescent="0.2">
      <c r="A39" s="39" t="s">
        <v>181</v>
      </c>
      <c r="B39" s="39"/>
      <c r="C39" s="39"/>
      <c r="D39" s="39"/>
      <c r="E39" s="39"/>
    </row>
  </sheetData>
  <sheetProtection formatCells="0" formatColumns="0" formatRows="0" insertHyperlinks="0" sort="0" autoFilter="0"/>
  <mergeCells count="9">
    <mergeCell ref="A37:E37"/>
    <mergeCell ref="A38:E38"/>
    <mergeCell ref="A39:E39"/>
    <mergeCell ref="A1:E1"/>
    <mergeCell ref="A4:E4"/>
    <mergeCell ref="A10:E10"/>
    <mergeCell ref="A16:E16"/>
    <mergeCell ref="A22:E22"/>
    <mergeCell ref="A36:E36"/>
  </mergeCells>
  <conditionalFormatting sqref="D5:D20">
    <cfRule type="cellIs" dxfId="0" priority="1" stopIfTrue="1" operator="equal">
      <formula>"""HIGH PRIORITY"""</formula>
    </cfRule>
  </conditionalFormatting>
  <hyperlinks>
    <hyperlink ref="A2" location="Dashboard!A1" display="« Back to Dashboard" xr:uid="{78E8F118-864A-DB48-BDFC-47A9B172986E}"/>
  </hyperlinks>
  <printOptions horizontalCentered="1"/>
  <pageMargins left="0.7" right="0.7" top="0.75" bottom="0.75" header="0.3" footer="0.3"/>
  <pageSetup paperSize="9" fitToHeight="0" orientation="landscape" horizontalDpi="0" verticalDpi="0"/>
  <headerFooter>
    <oddFooter>&amp;L80/20 Money System&amp;CPage &amp;P of &amp;N&amp;RCreated: 05.18.2025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Dashboard</vt:lpstr>
      <vt:lpstr>Income</vt:lpstr>
      <vt:lpstr>Expenses</vt:lpstr>
      <vt:lpstr>Debt</vt:lpstr>
      <vt:lpstr>Assets</vt:lpstr>
      <vt:lpstr>Financial Independence</vt:lpstr>
      <vt:lpstr>Implementation Plan</vt:lpstr>
      <vt:lpstr>Assets_Total</vt:lpstr>
      <vt:lpstr>Debt_Payments_Monthly</vt:lpstr>
      <vt:lpstr>Expenses_Monthly</vt:lpstr>
      <vt:lpstr>Income_Monthly</vt:lpstr>
      <vt:lpstr>Liabilities_Total</vt:lpstr>
      <vt:lpstr>Assets!Print_Area</vt:lpstr>
      <vt:lpstr>Dashboard!Print_Area</vt:lpstr>
      <vt:lpstr>Debt!Print_Area</vt:lpstr>
      <vt:lpstr>Expenses!Print_Area</vt:lpstr>
      <vt:lpstr>'Financial Independence'!Print_Area</vt:lpstr>
      <vt:lpstr>'Implementation Plan'!Print_Area</vt:lpstr>
      <vt:lpstr>Income!Print_Area</vt:lpstr>
      <vt:lpstr>Savings_Monthly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80/20 Money System - Financial Reality Template</dc:title>
  <dc:subject>Personal Finance</dc:subject>
  <dc:creator>Nader ILAHI</dc:creator>
  <cp:keywords>80/20, money, finance, template</cp:keywords>
  <dc:description>Created with the 80/20 Money System</dc:description>
  <cp:lastModifiedBy>Nader ILAHI</cp:lastModifiedBy>
  <dcterms:created xsi:type="dcterms:W3CDTF">2025-05-18T08:46:23Z</dcterms:created>
  <dcterms:modified xsi:type="dcterms:W3CDTF">2025-05-18T11:35:33Z</dcterms:modified>
</cp:coreProperties>
</file>