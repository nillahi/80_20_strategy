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aderilahi/Desktop/Innovyce/OKDeal/Chapter2/"/>
    </mc:Choice>
  </mc:AlternateContent>
  <xr:revisionPtr revIDLastSave="0" documentId="8_{2538438C-AC4C-3A4C-A189-671FE7992A11}" xr6:coauthVersionLast="47" xr6:coauthVersionMax="47" xr10:uidLastSave="{00000000-0000-0000-0000-000000000000}"/>
  <bookViews>
    <workbookView xWindow="11580" yWindow="5400" windowWidth="28040" windowHeight="17440" activeTab="7" xr2:uid="{1D15EF75-4E67-AD47-80CE-405FE09E16AB}"/>
  </bookViews>
  <sheets>
    <sheet name="Dashboard" sheetId="2" r:id="rId1"/>
    <sheet name="Income Optimizer" sheetId="3" r:id="rId2"/>
    <sheet name="Expense Control" sheetId="4" r:id="rId3"/>
    <sheet name="Wealth Pipeline" sheetId="5" r:id="rId4"/>
    <sheet name="Freedom Timeline" sheetId="6" r:id="rId5"/>
    <sheet name="Decision Optimizer" sheetId="7" r:id="rId6"/>
    <sheet name="Data" sheetId="8" state="hidden" r:id="rId7"/>
    <sheet name="Settings" sheetId="9" r:id="rId8"/>
  </sheets>
  <functionGroups builtInGroupCount="19"/>
  <definedNames>
    <definedName name="FinancialClarityScore_Metric">Dashboard!$H$6</definedName>
    <definedName name="FreedomTimeline_Metric">Dashboard!$H$8</definedName>
    <definedName name="MoneyFlowEfficiency_Metric">Dashboard!$H$9</definedName>
    <definedName name="MonthlyExpenses_Value">Dashboard!$C$7</definedName>
    <definedName name="MonthlyIncome_Value">Dashboard!$C$6</definedName>
    <definedName name="MonthlySavings_Value">Dashboard!$C$8</definedName>
    <definedName name="NetWorth_Value">Dashboard!$C$10</definedName>
    <definedName name="SavingsRate_Value">Dashboard!$C$11</definedName>
    <definedName name="TotalDebt_Value">Dashboard!$C$9</definedName>
    <definedName name="TrueHourlyValue_Metric">Dashboard!$H$7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8" l="1"/>
  <c r="H4" i="8"/>
  <c r="G4" i="8"/>
  <c r="F4" i="8"/>
  <c r="E4" i="8"/>
  <c r="H21" i="7"/>
  <c r="H20" i="7"/>
  <c r="H19" i="7"/>
  <c r="C31" i="7"/>
  <c r="H12" i="7"/>
  <c r="H11" i="7"/>
  <c r="H10" i="7"/>
  <c r="H9" i="7"/>
  <c r="D18" i="7"/>
  <c r="C18" i="7"/>
  <c r="C8" i="7"/>
  <c r="G21" i="6"/>
  <c r="C15" i="6"/>
  <c r="C16" i="6" s="1"/>
  <c r="C9" i="6"/>
  <c r="E9" i="6" s="1"/>
  <c r="C8" i="6"/>
  <c r="E8" i="6" s="1"/>
  <c r="E7" i="6"/>
  <c r="C7" i="6"/>
  <c r="C6" i="6"/>
  <c r="E6" i="6" s="1"/>
  <c r="C16" i="5"/>
  <c r="C14" i="5"/>
  <c r="E12" i="5"/>
  <c r="E11" i="5"/>
  <c r="E10" i="5"/>
  <c r="E9" i="5"/>
  <c r="E8" i="5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C12" i="4"/>
  <c r="B25" i="8" s="1"/>
  <c r="E10" i="4"/>
  <c r="E9" i="4"/>
  <c r="E8" i="4"/>
  <c r="E7" i="4"/>
  <c r="E6" i="4"/>
  <c r="C22" i="3"/>
  <c r="C26" i="3" s="1"/>
  <c r="C9" i="7" s="1"/>
  <c r="F16" i="3"/>
  <c r="F15" i="3"/>
  <c r="F14" i="3"/>
  <c r="F13" i="3"/>
  <c r="F12" i="3"/>
  <c r="F11" i="3"/>
  <c r="F10" i="3"/>
  <c r="F9" i="3"/>
  <c r="F8" i="3"/>
  <c r="F7" i="3"/>
  <c r="A23" i="2"/>
  <c r="H9" i="2"/>
  <c r="H8" i="2"/>
  <c r="H7" i="2"/>
  <c r="H6" i="2"/>
  <c r="C9" i="2"/>
  <c r="C7" i="2"/>
  <c r="C6" i="2"/>
  <c r="B22" i="8" l="1"/>
  <c r="C10" i="2"/>
  <c r="C8" i="2"/>
  <c r="C11" i="2" s="1"/>
</calcChain>
</file>

<file path=xl/sharedStrings.xml><?xml version="1.0" encoding="utf-8"?>
<sst xmlns="http://schemas.openxmlformats.org/spreadsheetml/2006/main" count="205" uniqueCount="190">
  <si>
    <t>80/20 Money System Control Dashboard</t>
  </si>
  <si>
    <t>FINANCIAL SNAPSHOT</t>
  </si>
  <si>
    <t>Monthly Income:</t>
  </si>
  <si>
    <t>Monthly Expenses:</t>
  </si>
  <si>
    <t>Monthly Savings:</t>
  </si>
  <si>
    <t>Total Debt:</t>
  </si>
  <si>
    <t>Net Worth:</t>
  </si>
  <si>
    <t>Savings Rate:</t>
  </si>
  <si>
    <t>KEY METRICS</t>
  </si>
  <si>
    <t>Financial Clarity Score:</t>
  </si>
  <si>
    <t>True Hourly Value:</t>
  </si>
  <si>
    <t>Freedom Timeline:</t>
  </si>
  <si>
    <t>Money Flow Efficiency:</t>
  </si>
  <si>
    <t>VISUAL DASHBOARD</t>
  </si>
  <si>
    <t>Savings</t>
  </si>
  <si>
    <t>INCOME OPTIMIZER</t>
  </si>
  <si>
    <t>Enter all income sources:</t>
  </si>
  <si>
    <t>Income Source</t>
  </si>
  <si>
    <t>Type</t>
  </si>
  <si>
    <t>Gross Amount</t>
  </si>
  <si>
    <t>Net Amount</t>
  </si>
  <si>
    <t>Frequency</t>
  </si>
  <si>
    <t>Annual Total</t>
  </si>
  <si>
    <t>TRUE HOURLY VALUE CALCULATOR</t>
  </si>
  <si>
    <t>Annual Salary:</t>
  </si>
  <si>
    <t>Hours per Week:</t>
  </si>
  <si>
    <t>Weeks per Year:</t>
  </si>
  <si>
    <t>Your True Hourly Value:</t>
  </si>
  <si>
    <t>EXPENSE CONTROL CENTER</t>
  </si>
  <si>
    <t>BIG 5 EXPENSES (Enter your amounts)</t>
  </si>
  <si>
    <t>Housing:</t>
  </si>
  <si>
    <t>Transportation:</t>
  </si>
  <si>
    <t>Food:</t>
  </si>
  <si>
    <t>Insurance:</t>
  </si>
  <si>
    <t>Debt Payments:</t>
  </si>
  <si>
    <t>TOTAL EXPENSES:</t>
  </si>
  <si>
    <t>DETAILED EXPENSE TRACKING</t>
  </si>
  <si>
    <t>Category</t>
  </si>
  <si>
    <t>Description</t>
  </si>
  <si>
    <t>Amount</t>
  </si>
  <si>
    <t>Monthly Equivalent</t>
  </si>
  <si>
    <t>WEALTH BUILDING PIPELINE</t>
  </si>
  <si>
    <t>Enter your monthly savings allocations:</t>
  </si>
  <si>
    <t>MONTHLY ALLOCATIONS</t>
  </si>
  <si>
    <t>Emergency Fund:</t>
  </si>
  <si>
    <t>Annual:</t>
  </si>
  <si>
    <t>Debt Payoff:</t>
  </si>
  <si>
    <t>Retirement (401k/IRA):</t>
  </si>
  <si>
    <t>Investments:</t>
  </si>
  <si>
    <t>Other Savings:</t>
  </si>
  <si>
    <t>TOTAL MONTHLY SAVINGS:</t>
  </si>
  <si>
    <t>Savings Rate Check:</t>
  </si>
  <si>
    <t>FREEDOM TIMELINE</t>
  </si>
  <si>
    <t>Debt Freedom:</t>
  </si>
  <si>
    <t>Financial Independence:</t>
  </si>
  <si>
    <t>DECISION OPTIMIZER</t>
  </si>
  <si>
    <t>Monthly Impact:</t>
  </si>
  <si>
    <t>KEY MILESTONES - PROJECTED DATES</t>
  </si>
  <si>
    <t>Emergency Fund (6 months):</t>
  </si>
  <si>
    <t>First 100K Net Worth:</t>
  </si>
  <si>
    <t>PROGRESS INDICATORS</t>
  </si>
  <si>
    <t>Your Current Financial Age:</t>
  </si>
  <si>
    <t>Enter your age ?</t>
  </si>
  <si>
    <t>Years to Financial Independence:</t>
  </si>
  <si>
    <t>Financial Independence Age:</t>
  </si>
  <si>
    <t>WHAT-IF SCENARIOS</t>
  </si>
  <si>
    <t>If I increase savings rate to:</t>
  </si>
  <si>
    <t>? Years to FI:</t>
  </si>
  <si>
    <t>Other</t>
  </si>
  <si>
    <t>Salary</t>
  </si>
  <si>
    <t>Primary</t>
  </si>
  <si>
    <t>Monthly</t>
  </si>
  <si>
    <t>Housing</t>
  </si>
  <si>
    <t>1. MAJOR PURCHASE EVALUATOR</t>
  </si>
  <si>
    <t>Item/Description:</t>
  </si>
  <si>
    <t>Purchase Price:</t>
  </si>
  <si>
    <t>Hours of Work Required:</t>
  </si>
  <si>
    <t>Rate each factor (1-10):</t>
  </si>
  <si>
    <t>Long-term Value:</t>
  </si>
  <si>
    <t>Immediate Need:</t>
  </si>
  <si>
    <t>Alternative Options Available:</t>
  </si>
  <si>
    <t>Impact on Goals:</t>
  </si>
  <si>
    <t>Emotional Value:</t>
  </si>
  <si>
    <t>DECISION SCORE:</t>
  </si>
  <si>
    <t>2. OPPORTUNITY COST CALCULATOR</t>
  </si>
  <si>
    <t>Amount to Spend/Invest:</t>
  </si>
  <si>
    <t>This could become in:</t>
  </si>
  <si>
    <t>5 years @ 7%:</t>
  </si>
  <si>
    <t>10 years @ 7%:</t>
  </si>
  <si>
    <t>20 years @ 7%:</t>
  </si>
  <si>
    <t>30 years @ 7%:</t>
  </si>
  <si>
    <t>3. FINANCIAL EMERGENCY FILTER</t>
  </si>
  <si>
    <t>Is this expense:</t>
  </si>
  <si>
    <t>Necessary for health/safety?</t>
  </si>
  <si>
    <t>Required to maintain income?</t>
  </si>
  <si>
    <t>Legally required?</t>
  </si>
  <si>
    <t>Would waiting 30 days change the need?</t>
  </si>
  <si>
    <t>Is there a less expensive alternative?</t>
  </si>
  <si>
    <t>Emergency Status:</t>
  </si>
  <si>
    <t>4. LIFESTYLE INFLATION GUARD</t>
  </si>
  <si>
    <t>Income Increase:</t>
  </si>
  <si>
    <t>Suggested Allocation:</t>
  </si>
  <si>
    <t>? To Savings/Investments (50%):</t>
  </si>
  <si>
    <t>? To Lifestyle (30%):</t>
  </si>
  <si>
    <t>? To Accelerated Goals (20%):</t>
  </si>
  <si>
    <t>DECISION RULES SUMMARY</t>
  </si>
  <si>
    <t>Before any purchase over $100:</t>
  </si>
  <si>
    <t>1. Wait 24 hours (impulse control)</t>
  </si>
  <si>
    <t>2. Calculate hours of work required</t>
  </si>
  <si>
    <t>3. Consider opportunity cost</t>
  </si>
  <si>
    <t>4. Check if it aligns with goals</t>
  </si>
  <si>
    <t>5. Look for used/alternative options</t>
  </si>
  <si>
    <t>Income increase guidelines:</t>
  </si>
  <si>
    <t>• Avoid lifestyle creep</t>
  </si>
  <si>
    <t>• Automate the increase to savings</t>
  </si>
  <si>
    <t>• Celebrate without overspending</t>
  </si>
  <si>
    <t>• Review lifestyle costs quarterly</t>
  </si>
  <si>
    <t>CONFIGURATION SETTINGS</t>
  </si>
  <si>
    <t>Version:</t>
  </si>
  <si>
    <t>1.0 Mac</t>
  </si>
  <si>
    <t>Created Date:</t>
  </si>
  <si>
    <t>Last Updated:</t>
  </si>
  <si>
    <t>Currency Symbol:</t>
  </si>
  <si>
    <t>$</t>
  </si>
  <si>
    <t>Date Format:</t>
  </si>
  <si>
    <t>mm/dd/yyyy</t>
  </si>
  <si>
    <t>USER INFORMATION</t>
  </si>
  <si>
    <t>User Name:</t>
  </si>
  <si>
    <t>Email:</t>
  </si>
  <si>
    <t>Age:</t>
  </si>
  <si>
    <t>Target Retirement Age:</t>
  </si>
  <si>
    <t>HISTORICAL DATA TRACKING</t>
  </si>
  <si>
    <t>Date</t>
  </si>
  <si>
    <t>Net Worth</t>
  </si>
  <si>
    <t>Monthly Income</t>
  </si>
  <si>
    <t>Monthly Expenses</t>
  </si>
  <si>
    <t>Savings Rate</t>
  </si>
  <si>
    <t>Total Debt</t>
  </si>
  <si>
    <t>VALIDATION LISTS</t>
  </si>
  <si>
    <t>Income Types</t>
  </si>
  <si>
    <t>Side Hustle</t>
  </si>
  <si>
    <t>Passive</t>
  </si>
  <si>
    <t>Expense Categories</t>
  </si>
  <si>
    <t>Transportation</t>
  </si>
  <si>
    <t>Food</t>
  </si>
  <si>
    <t>Insurance</t>
  </si>
  <si>
    <t>Debt</t>
  </si>
  <si>
    <t>Utilities</t>
  </si>
  <si>
    <t>Entertainment</t>
  </si>
  <si>
    <t>Bi-Weekly</t>
  </si>
  <si>
    <t>Weekly</t>
  </si>
  <si>
    <t>Quarterly</t>
  </si>
  <si>
    <t>Annual</t>
  </si>
  <si>
    <t>One-Time</t>
  </si>
  <si>
    <t>FINANCIAL GOALS</t>
  </si>
  <si>
    <t>Emergency Fund Target:</t>
  </si>
  <si>
    <t>Debt Freedom Target:</t>
  </si>
  <si>
    <t>First 100K Target:</t>
  </si>
  <si>
    <t>FI Number (25x expenses):</t>
  </si>
  <si>
    <t>DASHBOARD SETTINGS</t>
  </si>
  <si>
    <t>AUTOMATION SETTINGS</t>
  </si>
  <si>
    <t>Enable Weekly Reminders:</t>
  </si>
  <si>
    <t>Yes</t>
  </si>
  <si>
    <t>Weekly Review Day:</t>
  </si>
  <si>
    <t>Sunday</t>
  </si>
  <si>
    <t>Monthly Review Date:</t>
  </si>
  <si>
    <t>ALERT THRESHOLDS</t>
  </si>
  <si>
    <t>Low Savings Rate Alert (%):</t>
  </si>
  <si>
    <t>High Expense Ratio Alert (%):</t>
  </si>
  <si>
    <t>Emergency Fund Minimum (months):</t>
  </si>
  <si>
    <t>DISPLAY PREFERENCES</t>
  </si>
  <si>
    <t>Show Cents:</t>
  </si>
  <si>
    <t>No</t>
  </si>
  <si>
    <t>Target Savings Rate (%):</t>
  </si>
  <si>
    <t>FI Target Age:</t>
  </si>
  <si>
    <t>Debt Free Target Date:</t>
  </si>
  <si>
    <t>BACKUP &amp; MAINTENANCE</t>
  </si>
  <si>
    <t>Auto-Save Monthly Snapshot:</t>
  </si>
  <si>
    <t>Last Backup Date:</t>
  </si>
  <si>
    <t>Never</t>
  </si>
  <si>
    <t>Click to Backup Now ?</t>
  </si>
  <si>
    <t>QUICK ACCESS</t>
  </si>
  <si>
    <t>• Change alert thresholds above</t>
  </si>
  <si>
    <t>• Modify automation preferences</t>
  </si>
  <si>
    <t>• Update financial goals</t>
  </si>
  <si>
    <t>• Adjust display settings</t>
  </si>
  <si>
    <t>Need Help?</t>
  </si>
  <si>
    <t>• Run Weekly Check for status</t>
  </si>
  <si>
    <t>• Run Monthly Review for tasks</t>
  </si>
  <si>
    <t>• Check Dashboard for overview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</si>
</sst>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€&quot;#,##0"/>
    <numFmt numFmtId="165" formatCode="&quot;€&quot;#,##0.00"/>
    <numFmt numFmtId="166" formatCode="0.0\ &quot;years&quot;"/>
    <numFmt numFmtId="167" formatCode="mmm\ yyyy"/>
    <numFmt numFmtId="168" formatCode="0.0"/>
    <numFmt numFmtId="169" formatCode="0.0\ &quot;hours&quot;"/>
    <numFmt numFmtId="170" formatCode="mm/dd/yyyy\ hh:mm"/>
    <numFmt numFmtId="171" formatCode="mm/dd/yyyy"/>
  </numFmts>
  <fonts count="10" x14ac:knownFonts="1"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24"/>
      <color rgb="FFFFFFFF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4"/>
      <color rgb="FFFFFFFF"/>
      <name val="Calibri"/>
      <family val="2"/>
    </font>
    <font>
      <b/>
      <sz val="9"/>
      <color theme="1"/>
      <name val="Calibri"/>
      <family val="2"/>
    </font>
    <font>
      <b/>
      <sz val="18"/>
      <color rgb="FFFFFFFF"/>
      <name val="Calibri"/>
      <family val="2"/>
    </font>
    <font>
      <i/>
      <sz val="11"/>
      <color theme="1"/>
      <name val="Calibri"/>
      <family val="2"/>
    </font>
    <font>
      <b/>
      <sz val="12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94539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D9AFF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CF2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2" borderId="0" xfId="0" applyFont="1" applyFill="1"/>
    <xf numFmtId="164" fontId="1" fillId="0" borderId="0" xfId="0" applyNumberFormat="1" applyFont="1"/>
    <xf numFmtId="164" fontId="1" fillId="3" borderId="0" xfId="0" applyNumberFormat="1" applyFont="1" applyFill="1"/>
    <xf numFmtId="164" fontId="3" fillId="3" borderId="0" xfId="0" applyNumberFormat="1" applyFont="1" applyFill="1"/>
    <xf numFmtId="164" fontId="3" fillId="3" borderId="0" xfId="0" applyNumberFormat="1" applyFont="1" applyFill="1" applyAlignment="1">
      <alignment horizontal="right"/>
    </xf>
    <xf numFmtId="9" fontId="1" fillId="0" borderId="0" xfId="0" applyNumberFormat="1" applyFont="1"/>
    <xf numFmtId="9" fontId="1" fillId="3" borderId="0" xfId="0" applyNumberFormat="1" applyFont="1" applyFill="1"/>
    <xf numFmtId="9" fontId="3" fillId="3" borderId="0" xfId="0" applyNumberFormat="1" applyFont="1" applyFill="1" applyAlignment="1">
      <alignment horizontal="right"/>
    </xf>
    <xf numFmtId="1" fontId="3" fillId="4" borderId="0" xfId="0" applyNumberFormat="1" applyFont="1" applyFill="1" applyAlignment="1">
      <alignment horizontal="right"/>
    </xf>
    <xf numFmtId="165" fontId="3" fillId="4" borderId="0" xfId="0" applyNumberFormat="1" applyFont="1" applyFill="1" applyAlignment="1">
      <alignment horizontal="right"/>
    </xf>
    <xf numFmtId="166" fontId="3" fillId="4" borderId="0" xfId="0" applyNumberFormat="1" applyFont="1" applyFill="1" applyAlignment="1">
      <alignment horizontal="right"/>
    </xf>
    <xf numFmtId="9" fontId="3" fillId="4" borderId="0" xfId="0" applyNumberFormat="1" applyFont="1" applyFill="1"/>
    <xf numFmtId="9" fontId="3" fillId="4" borderId="0" xfId="0" applyNumberFormat="1" applyFont="1" applyFill="1" applyAlignment="1">
      <alignment horizontal="right"/>
    </xf>
    <xf numFmtId="0" fontId="6" fillId="0" borderId="0" xfId="0" applyFont="1"/>
    <xf numFmtId="0" fontId="3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8" fillId="0" borderId="0" xfId="0" applyFont="1"/>
    <xf numFmtId="0" fontId="3" fillId="5" borderId="0" xfId="0" applyFont="1" applyFill="1"/>
    <xf numFmtId="0" fontId="1" fillId="6" borderId="0" xfId="0" applyFont="1" applyFill="1"/>
    <xf numFmtId="164" fontId="1" fillId="6" borderId="0" xfId="0" applyNumberFormat="1" applyFont="1" applyFill="1"/>
    <xf numFmtId="165" fontId="4" fillId="7" borderId="0" xfId="0" applyNumberFormat="1" applyFont="1" applyFill="1"/>
    <xf numFmtId="0" fontId="9" fillId="0" borderId="0" xfId="0" applyFont="1"/>
    <xf numFmtId="0" fontId="9" fillId="7" borderId="0" xfId="0" applyFont="1" applyFill="1"/>
    <xf numFmtId="0" fontId="3" fillId="3" borderId="0" xfId="0" applyFont="1" applyFill="1"/>
    <xf numFmtId="167" fontId="3" fillId="4" borderId="0" xfId="0" applyNumberFormat="1" applyFont="1" applyFill="1"/>
    <xf numFmtId="166" fontId="3" fillId="3" borderId="0" xfId="0" applyNumberFormat="1" applyFont="1" applyFill="1"/>
    <xf numFmtId="9" fontId="1" fillId="6" borderId="0" xfId="0" applyNumberFormat="1" applyFont="1" applyFill="1"/>
    <xf numFmtId="168" fontId="3" fillId="7" borderId="0" xfId="0" applyNumberFormat="1" applyFont="1" applyFill="1"/>
    <xf numFmtId="0" fontId="4" fillId="7" borderId="0" xfId="0" applyFont="1" applyFill="1"/>
    <xf numFmtId="164" fontId="1" fillId="8" borderId="0" xfId="0" applyNumberFormat="1" applyFont="1" applyFill="1"/>
    <xf numFmtId="169" fontId="1" fillId="8" borderId="0" xfId="0" applyNumberFormat="1" applyFont="1" applyFill="1"/>
    <xf numFmtId="168" fontId="4" fillId="3" borderId="0" xfId="0" applyNumberFormat="1" applyFont="1" applyFill="1"/>
    <xf numFmtId="0" fontId="3" fillId="8" borderId="0" xfId="0" applyFont="1" applyFill="1"/>
    <xf numFmtId="164" fontId="1" fillId="4" borderId="0" xfId="0" applyNumberFormat="1" applyFont="1" applyFill="1"/>
    <xf numFmtId="14" fontId="1" fillId="0" borderId="0" xfId="0" applyNumberFormat="1" applyFont="1"/>
    <xf numFmtId="170" fontId="1" fillId="0" borderId="0" xfId="0" applyNumberFormat="1" applyFont="1"/>
    <xf numFmtId="171" fontId="1" fillId="0" borderId="0" xfId="0" applyNumberFormat="1" applyFont="1"/>
    <xf numFmtId="171" fontId="1" fillId="6" borderId="0" xfId="0" applyNumberFormat="1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EA323-FE04-C744-9AB2-0593DB4568D3}">
  <sheetPr codeName="Sheet2"/>
  <dimension ref="A1:J23"/>
  <sheetViews>
    <sheetView workbookViewId="0">
      <selection sqref="A1:J2"/>
    </sheetView>
  </sheetViews>
  <sheetFormatPr baseColWidth="10" defaultRowHeight="15" x14ac:dyDescent="0.2"/>
  <cols>
    <col min="1" max="1" width="22.6640625" style="1" bestFit="1" customWidth="1"/>
    <col min="2" max="16384" width="10.83203125" style="1"/>
  </cols>
  <sheetData>
    <row r="1" spans="1:10" x14ac:dyDescent="0.2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">
      <c r="A2" s="2"/>
      <c r="B2" s="2"/>
      <c r="C2" s="2"/>
      <c r="D2" s="2"/>
      <c r="E2" s="2"/>
      <c r="F2" s="2"/>
      <c r="G2" s="2"/>
      <c r="H2" s="2"/>
      <c r="I2" s="2"/>
      <c r="J2" s="2"/>
    </row>
    <row r="4" spans="1:10" ht="19" x14ac:dyDescent="0.25">
      <c r="A4" s="5" t="s">
        <v>1</v>
      </c>
      <c r="F4" s="5" t="s">
        <v>8</v>
      </c>
    </row>
    <row r="6" spans="1:10" x14ac:dyDescent="0.2">
      <c r="A6" s="3" t="s">
        <v>2</v>
      </c>
      <c r="C6" s="9">
        <f>SUMIF('Income Optimizer'!E7:E16,"Monthly",'Income Optimizer'!D7:D16)+SUMIF('Income Optimizer'!E7:E16,"Bi-Weekly",'Income Optimizer'!D7:D16)*26/12+SUMIF('Income Optimizer'!E7:E16,"Weekly",'Income Optimizer'!D7:D16)*52/12+SUMIF('Income Optimizer'!E7:E16,"Annual",'Income Optimizer'!D7:D16)/12</f>
        <v>250</v>
      </c>
      <c r="F6" s="3" t="s">
        <v>9</v>
      </c>
      <c r="H6" s="13">
        <f>MIN(100,IF(COUNTA('Income Optimizer'!A7:A16)&gt;0,20,0)+IF(SUM('Expense Control'!C6:C10)&gt;0,30,0)+IF(SUM('Wealth Pipeline'!C8:C12)&gt;0,20,0)+IF(B11&gt;0,30,0))</f>
        <v>20</v>
      </c>
    </row>
    <row r="7" spans="1:10" x14ac:dyDescent="0.2">
      <c r="A7" s="3" t="s">
        <v>3</v>
      </c>
      <c r="C7" s="9">
        <f>SUM('Expense Control'!C6:C10)</f>
        <v>0</v>
      </c>
      <c r="F7" s="3" t="s">
        <v>10</v>
      </c>
      <c r="H7" s="14">
        <f>IF(B6&gt;0,(B6*12)/2080,0)</f>
        <v>0</v>
      </c>
    </row>
    <row r="8" spans="1:10" x14ac:dyDescent="0.2">
      <c r="A8" s="3" t="s">
        <v>4</v>
      </c>
      <c r="C8" s="9">
        <f>$C$6-$C$7</f>
        <v>250</v>
      </c>
      <c r="F8" s="3" t="s">
        <v>11</v>
      </c>
      <c r="H8" s="15">
        <f>IF(B11&gt;0,LOG(1/(1-B11))/LOG(1.07),99)</f>
        <v>99</v>
      </c>
    </row>
    <row r="9" spans="1:10" x14ac:dyDescent="0.2">
      <c r="A9" s="3" t="s">
        <v>5</v>
      </c>
      <c r="C9" s="9">
        <f>'Expense Control'!C10</f>
        <v>0</v>
      </c>
      <c r="F9" s="3" t="s">
        <v>12</v>
      </c>
      <c r="H9" s="17">
        <f>B11</f>
        <v>0</v>
      </c>
    </row>
    <row r="10" spans="1:10" x14ac:dyDescent="0.2">
      <c r="A10" s="3" t="s">
        <v>6</v>
      </c>
      <c r="C10" s="9">
        <f>SUM('Wealth Pipeline'!C12:C15)-$C$9</f>
        <v>0</v>
      </c>
    </row>
    <row r="11" spans="1:10" x14ac:dyDescent="0.2">
      <c r="A11" s="3" t="s">
        <v>7</v>
      </c>
      <c r="C11" s="12">
        <f>IF($C$6&gt;0,$C$8/$C$6,0)</f>
        <v>1</v>
      </c>
    </row>
    <row r="20" spans="1:1" ht="19" x14ac:dyDescent="0.25">
      <c r="A20" s="5" t="s">
        <v>13</v>
      </c>
    </row>
    <row r="22" spans="1:1" x14ac:dyDescent="0.2">
      <c r="A22" s="18" t="s">
        <v>14</v>
      </c>
    </row>
    <row r="23" spans="1:1" x14ac:dyDescent="0.2">
      <c r="A23" s="19" t="str">
        <f>IF(B11&gt;=0.2,"EXCELLENT",IF(B11&gt;=0.1,"GOOD","NEEDS WORK"))</f>
        <v>NEEDS WORK</v>
      </c>
    </row>
  </sheetData>
  <mergeCells count="1">
    <mergeCell ref="A1:J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13E3-F796-7149-9CEB-D5BAB5A9DBB1}">
  <sheetPr codeName="Sheet3"/>
  <dimension ref="A1:F26"/>
  <sheetViews>
    <sheetView workbookViewId="0">
      <selection activeCell="E7" sqref="E7"/>
    </sheetView>
  </sheetViews>
  <sheetFormatPr baseColWidth="10" defaultRowHeight="15" x14ac:dyDescent="0.2"/>
  <cols>
    <col min="1" max="1" width="20.83203125" style="1" bestFit="1" customWidth="1"/>
    <col min="2" max="2" width="13.6640625" style="1" customWidth="1"/>
    <col min="3" max="3" width="12" style="1" bestFit="1" customWidth="1"/>
    <col min="4" max="4" width="10.6640625" style="1" bestFit="1" customWidth="1"/>
    <col min="5" max="5" width="9.33203125" style="1" bestFit="1" customWidth="1"/>
    <col min="6" max="16384" width="10.83203125" style="1"/>
  </cols>
  <sheetData>
    <row r="1" spans="1:6" x14ac:dyDescent="0.2">
      <c r="A1" s="20" t="s">
        <v>15</v>
      </c>
      <c r="B1" s="20"/>
      <c r="C1" s="20"/>
      <c r="D1" s="20"/>
      <c r="E1" s="20"/>
      <c r="F1" s="20"/>
    </row>
    <row r="2" spans="1:6" x14ac:dyDescent="0.2">
      <c r="A2" s="20"/>
      <c r="B2" s="20"/>
      <c r="C2" s="20"/>
      <c r="D2" s="20"/>
      <c r="E2" s="20"/>
      <c r="F2" s="20"/>
    </row>
    <row r="4" spans="1:6" x14ac:dyDescent="0.2">
      <c r="A4" s="21" t="s">
        <v>16</v>
      </c>
    </row>
    <row r="6" spans="1:6" x14ac:dyDescent="0.2">
      <c r="A6" s="22" t="s">
        <v>17</v>
      </c>
      <c r="B6" s="22" t="s">
        <v>18</v>
      </c>
      <c r="C6" s="22" t="s">
        <v>19</v>
      </c>
      <c r="D6" s="22" t="s">
        <v>20</v>
      </c>
      <c r="E6" s="22" t="s">
        <v>21</v>
      </c>
      <c r="F6" s="22" t="s">
        <v>22</v>
      </c>
    </row>
    <row r="7" spans="1:6" x14ac:dyDescent="0.2">
      <c r="A7" s="23" t="s">
        <v>69</v>
      </c>
      <c r="B7" s="1" t="s">
        <v>70</v>
      </c>
      <c r="C7" s="24">
        <v>5000</v>
      </c>
      <c r="D7" s="24">
        <v>3000</v>
      </c>
      <c r="E7" s="1" t="s">
        <v>152</v>
      </c>
      <c r="F7" s="6">
        <f>IF(E7="Monthly",D7*12,IF(E7="Bi-Weekly",D7*26,IF(E7="Weekly",D7*52,IF(E7="Annual",D7,0))))</f>
        <v>3000</v>
      </c>
    </row>
    <row r="8" spans="1:6" x14ac:dyDescent="0.2">
      <c r="A8" s="23"/>
      <c r="C8" s="24"/>
      <c r="D8" s="24"/>
      <c r="F8" s="6">
        <f>IF(E8="Monthly",D8*12,IF(E8="Bi-Weekly",D8*26,IF(E8="Weekly",D8*52,IF(E8="Annual",D8,0))))</f>
        <v>0</v>
      </c>
    </row>
    <row r="9" spans="1:6" x14ac:dyDescent="0.2">
      <c r="A9" s="23"/>
      <c r="C9" s="24"/>
      <c r="D9" s="24"/>
      <c r="F9" s="6">
        <f>IF(E9="Monthly",D9*12,IF(E9="Bi-Weekly",D9*26,IF(E9="Weekly",D9*52,IF(E9="Annual",D9,0))))</f>
        <v>0</v>
      </c>
    </row>
    <row r="10" spans="1:6" x14ac:dyDescent="0.2">
      <c r="A10" s="23"/>
      <c r="C10" s="24"/>
      <c r="D10" s="24"/>
      <c r="F10" s="6">
        <f>IF(E10="Monthly",D10*12,IF(E10="Bi-Weekly",D10*26,IF(E10="Weekly",D10*52,IF(E10="Annual",D10,0))))</f>
        <v>0</v>
      </c>
    </row>
    <row r="11" spans="1:6" x14ac:dyDescent="0.2">
      <c r="A11" s="23"/>
      <c r="C11" s="24"/>
      <c r="D11" s="24"/>
      <c r="F11" s="6">
        <f>IF(E11="Monthly",D11*12,IF(E11="Bi-Weekly",D11*26,IF(E11="Weekly",D11*52,IF(E11="Annual",D11,0))))</f>
        <v>0</v>
      </c>
    </row>
    <row r="12" spans="1:6" x14ac:dyDescent="0.2">
      <c r="A12" s="23"/>
      <c r="C12" s="24"/>
      <c r="D12" s="24"/>
      <c r="F12" s="6">
        <f>IF(E12="Monthly",D12*12,IF(E12="Bi-Weekly",D12*26,IF(E12="Weekly",D12*52,IF(E12="Annual",D12,0))))</f>
        <v>0</v>
      </c>
    </row>
    <row r="13" spans="1:6" x14ac:dyDescent="0.2">
      <c r="A13" s="23"/>
      <c r="C13" s="24"/>
      <c r="D13" s="24"/>
      <c r="F13" s="6">
        <f>IF(E13="Monthly",D13*12,IF(E13="Bi-Weekly",D13*26,IF(E13="Weekly",D13*52,IF(E13="Annual",D13,0))))</f>
        <v>0</v>
      </c>
    </row>
    <row r="14" spans="1:6" x14ac:dyDescent="0.2">
      <c r="A14" s="23"/>
      <c r="C14" s="24"/>
      <c r="D14" s="24"/>
      <c r="F14" s="6">
        <f>IF(E14="Monthly",D14*12,IF(E14="Bi-Weekly",D14*26,IF(E14="Weekly",D14*52,IF(E14="Annual",D14,0))))</f>
        <v>0</v>
      </c>
    </row>
    <row r="15" spans="1:6" x14ac:dyDescent="0.2">
      <c r="A15" s="23"/>
      <c r="C15" s="24"/>
      <c r="D15" s="24"/>
      <c r="F15" s="6">
        <f>IF(E15="Monthly",D15*12,IF(E15="Bi-Weekly",D15*26,IF(E15="Weekly",D15*52,IF(E15="Annual",D15,0))))</f>
        <v>0</v>
      </c>
    </row>
    <row r="16" spans="1:6" x14ac:dyDescent="0.2">
      <c r="A16" s="23"/>
      <c r="C16" s="24"/>
      <c r="D16" s="24"/>
      <c r="F16" s="6">
        <f>IF(E16="Monthly",D16*12,IF(E16="Bi-Weekly",D16*26,IF(E16="Weekly",D16*52,IF(E16="Annual",D16,0))))</f>
        <v>0</v>
      </c>
    </row>
    <row r="20" spans="1:3" ht="19" x14ac:dyDescent="0.25">
      <c r="A20" s="5" t="s">
        <v>23</v>
      </c>
    </row>
    <row r="22" spans="1:3" x14ac:dyDescent="0.2">
      <c r="A22" s="1" t="s">
        <v>24</v>
      </c>
      <c r="C22" s="24">
        <f>SUMIF(E7:E16,"Monthly",D7:D16)*12+SUMIF(E7:E16,"Annual",D7:D16)</f>
        <v>3000</v>
      </c>
    </row>
    <row r="23" spans="1:3" x14ac:dyDescent="0.2">
      <c r="A23" s="1" t="s">
        <v>25</v>
      </c>
      <c r="C23" s="23">
        <v>40</v>
      </c>
    </row>
    <row r="24" spans="1:3" x14ac:dyDescent="0.2">
      <c r="A24" s="1" t="s">
        <v>26</v>
      </c>
      <c r="C24" s="23">
        <v>52</v>
      </c>
    </row>
    <row r="26" spans="1:3" ht="19" x14ac:dyDescent="0.25">
      <c r="A26" s="3" t="s">
        <v>27</v>
      </c>
      <c r="C26" s="25">
        <f>IF(AND(C22&gt;0,C23&gt;0,C24&gt;0),C22/(C23*C24),0)</f>
        <v>1.4423076923076923</v>
      </c>
    </row>
  </sheetData>
  <mergeCells count="1">
    <mergeCell ref="A1:F2"/>
  </mergeCells>
  <dataValidations count="2">
    <dataValidation type="list" allowBlank="1" showInputMessage="1" showErrorMessage="1" sqref="B7:B16" xr:uid="{0707839E-89C0-E847-BF38-AE3CEA68BBFF}">
      <formula1>"Primary,Side Hustle,Passive,Other"</formula1>
    </dataValidation>
    <dataValidation type="list" allowBlank="1" showInputMessage="1" showErrorMessage="1" sqref="E7:E16" xr:uid="{A8390B72-870F-5141-BDA3-787B998EB432}">
      <formula1>"Monthly,Bi-Weekly,Weekly,Annual"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92780-724C-C14C-A436-D39A29D46435}">
  <sheetPr codeName="Sheet4"/>
  <dimension ref="A1:H32"/>
  <sheetViews>
    <sheetView workbookViewId="0">
      <selection activeCell="C21" sqref="C21"/>
    </sheetView>
  </sheetViews>
  <sheetFormatPr baseColWidth="10" defaultRowHeight="15" x14ac:dyDescent="0.2"/>
  <cols>
    <col min="1" max="1" width="33.33203125" style="1" bestFit="1" customWidth="1"/>
    <col min="2" max="2" width="10.1640625" style="1" bestFit="1" customWidth="1"/>
    <col min="3" max="3" width="7.5" style="1" bestFit="1" customWidth="1"/>
    <col min="4" max="4" width="9.33203125" style="1" bestFit="1" customWidth="1"/>
    <col min="5" max="5" width="16.5" style="1" bestFit="1" customWidth="1"/>
    <col min="6" max="16384" width="10.83203125" style="1"/>
  </cols>
  <sheetData>
    <row r="1" spans="1:8" x14ac:dyDescent="0.2">
      <c r="A1" s="20" t="s">
        <v>28</v>
      </c>
      <c r="B1" s="20"/>
      <c r="C1" s="20"/>
      <c r="D1" s="20"/>
      <c r="E1" s="20"/>
      <c r="F1" s="20"/>
      <c r="G1" s="20"/>
      <c r="H1" s="20"/>
    </row>
    <row r="2" spans="1:8" x14ac:dyDescent="0.2">
      <c r="A2" s="20"/>
      <c r="B2" s="20"/>
      <c r="C2" s="20"/>
      <c r="D2" s="20"/>
      <c r="E2" s="20"/>
      <c r="F2" s="20"/>
      <c r="G2" s="20"/>
      <c r="H2" s="20"/>
    </row>
    <row r="4" spans="1:8" ht="16" x14ac:dyDescent="0.2">
      <c r="A4" s="27" t="s">
        <v>29</v>
      </c>
    </row>
    <row r="6" spans="1:8" x14ac:dyDescent="0.2">
      <c r="A6" s="3" t="s">
        <v>30</v>
      </c>
      <c r="C6" s="24">
        <v>0</v>
      </c>
      <c r="E6" s="11">
        <f>IF(SUM(C6:C10)&gt;0,C6/SUM(C6:C10),0)</f>
        <v>0</v>
      </c>
    </row>
    <row r="7" spans="1:8" x14ac:dyDescent="0.2">
      <c r="A7" s="3" t="s">
        <v>31</v>
      </c>
      <c r="C7" s="24">
        <v>0</v>
      </c>
      <c r="E7" s="11">
        <f>IF(SUM(C6:C10)&gt;0,C7/SUM(C6:C10),0)</f>
        <v>0</v>
      </c>
    </row>
    <row r="8" spans="1:8" x14ac:dyDescent="0.2">
      <c r="A8" s="3" t="s">
        <v>32</v>
      </c>
      <c r="C8" s="24">
        <v>0</v>
      </c>
      <c r="E8" s="11">
        <f>IF(SUM(C6:C10)&gt;0,C8/SUM(C6:C10),0)</f>
        <v>0</v>
      </c>
    </row>
    <row r="9" spans="1:8" x14ac:dyDescent="0.2">
      <c r="A9" s="3" t="s">
        <v>33</v>
      </c>
      <c r="C9" s="24">
        <v>0</v>
      </c>
      <c r="E9" s="11">
        <f>IF(SUM(C6:C10)&gt;0,C9/SUM(C6:C10),0)</f>
        <v>0</v>
      </c>
    </row>
    <row r="10" spans="1:8" x14ac:dyDescent="0.2">
      <c r="A10" s="3" t="s">
        <v>34</v>
      </c>
      <c r="C10" s="24">
        <v>0</v>
      </c>
      <c r="E10" s="11">
        <f>IF(SUM(C6:C10)&gt;0,C10/SUM(C6:C10),0)</f>
        <v>0</v>
      </c>
    </row>
    <row r="12" spans="1:8" x14ac:dyDescent="0.2">
      <c r="A12" s="3" t="s">
        <v>35</v>
      </c>
      <c r="C12" s="8">
        <f>SUM(C6:C10)</f>
        <v>0</v>
      </c>
    </row>
    <row r="15" spans="1:8" ht="16" x14ac:dyDescent="0.2">
      <c r="A15" s="26" t="s">
        <v>36</v>
      </c>
    </row>
    <row r="17" spans="1:5" x14ac:dyDescent="0.2">
      <c r="A17" s="28" t="s">
        <v>37</v>
      </c>
      <c r="B17" s="28" t="s">
        <v>38</v>
      </c>
      <c r="C17" s="28" t="s">
        <v>39</v>
      </c>
      <c r="D17" s="28" t="s">
        <v>21</v>
      </c>
      <c r="E17" s="28" t="s">
        <v>40</v>
      </c>
    </row>
    <row r="18" spans="1:5" x14ac:dyDescent="0.2">
      <c r="A18" s="23"/>
      <c r="B18" s="23"/>
      <c r="C18" s="24"/>
      <c r="D18" s="23"/>
      <c r="E18" s="7">
        <f>IF(D18="Monthly",C18,IF(D18="Quarterly",C18/3,IF(D18="Annual",C18/12,0)))</f>
        <v>0</v>
      </c>
    </row>
    <row r="19" spans="1:5" x14ac:dyDescent="0.2">
      <c r="A19" s="23"/>
      <c r="B19" s="23"/>
      <c r="C19" s="24"/>
      <c r="D19" s="23"/>
      <c r="E19" s="7">
        <f>IF(D19="Monthly",C19,IF(D19="Quarterly",C19/3,IF(D19="Annual",C19/12,0)))</f>
        <v>0</v>
      </c>
    </row>
    <row r="20" spans="1:5" x14ac:dyDescent="0.2">
      <c r="A20" s="23"/>
      <c r="B20" s="23"/>
      <c r="C20" s="24"/>
      <c r="D20" s="23"/>
      <c r="E20" s="7">
        <f>IF(D20="Monthly",C20,IF(D20="Quarterly",C20/3,IF(D20="Annual",C20/12,0)))</f>
        <v>0</v>
      </c>
    </row>
    <row r="21" spans="1:5" x14ac:dyDescent="0.2">
      <c r="A21" s="23"/>
      <c r="B21" s="23"/>
      <c r="C21" s="24"/>
      <c r="D21" s="23"/>
      <c r="E21" s="7">
        <f>IF(D21="Monthly",C21,IF(D21="Quarterly",C21/3,IF(D21="Annual",C21/12,0)))</f>
        <v>0</v>
      </c>
    </row>
    <row r="22" spans="1:5" x14ac:dyDescent="0.2">
      <c r="A22" s="23"/>
      <c r="B22" s="23"/>
      <c r="C22" s="24"/>
      <c r="D22" s="23"/>
      <c r="E22" s="7">
        <f>IF(D22="Monthly",C22,IF(D22="Quarterly",C22/3,IF(D22="Annual",C22/12,0)))</f>
        <v>0</v>
      </c>
    </row>
    <row r="23" spans="1:5" x14ac:dyDescent="0.2">
      <c r="A23" s="23"/>
      <c r="B23" s="23"/>
      <c r="C23" s="24"/>
      <c r="D23" s="23"/>
      <c r="E23" s="7">
        <f>IF(D23="Monthly",C23,IF(D23="Quarterly",C23/3,IF(D23="Annual",C23/12,0)))</f>
        <v>0</v>
      </c>
    </row>
    <row r="24" spans="1:5" x14ac:dyDescent="0.2">
      <c r="A24" s="23"/>
      <c r="B24" s="23"/>
      <c r="C24" s="24"/>
      <c r="D24" s="23"/>
      <c r="E24" s="7">
        <f>IF(D24="Monthly",C24,IF(D24="Quarterly",C24/3,IF(D24="Annual",C24/12,0)))</f>
        <v>0</v>
      </c>
    </row>
    <row r="25" spans="1:5" x14ac:dyDescent="0.2">
      <c r="A25" s="23"/>
      <c r="B25" s="23"/>
      <c r="C25" s="24"/>
      <c r="D25" s="23"/>
      <c r="E25" s="7">
        <f>IF(D25="Monthly",C25,IF(D25="Quarterly",C25/3,IF(D25="Annual",C25/12,0)))</f>
        <v>0</v>
      </c>
    </row>
    <row r="26" spans="1:5" x14ac:dyDescent="0.2">
      <c r="A26" s="23"/>
      <c r="B26" s="23"/>
      <c r="C26" s="24"/>
      <c r="D26" s="23"/>
      <c r="E26" s="7">
        <f>IF(D26="Monthly",C26,IF(D26="Quarterly",C26/3,IF(D26="Annual",C26/12,0)))</f>
        <v>0</v>
      </c>
    </row>
    <row r="27" spans="1:5" x14ac:dyDescent="0.2">
      <c r="A27" s="23"/>
      <c r="B27" s="23"/>
      <c r="C27" s="24"/>
      <c r="D27" s="23"/>
      <c r="E27" s="7">
        <f>IF(D27="Monthly",C27,IF(D27="Quarterly",C27/3,IF(D27="Annual",C27/12,0)))</f>
        <v>0</v>
      </c>
    </row>
    <row r="28" spans="1:5" x14ac:dyDescent="0.2">
      <c r="A28" s="23"/>
      <c r="B28" s="23"/>
      <c r="C28" s="24"/>
      <c r="D28" s="23"/>
      <c r="E28" s="7">
        <f>IF(D28="Monthly",C28,IF(D28="Quarterly",C28/3,IF(D28="Annual",C28/12,0)))</f>
        <v>0</v>
      </c>
    </row>
    <row r="29" spans="1:5" x14ac:dyDescent="0.2">
      <c r="A29" s="23"/>
      <c r="B29" s="23"/>
      <c r="C29" s="24"/>
      <c r="D29" s="23"/>
      <c r="E29" s="7">
        <f>IF(D29="Monthly",C29,IF(D29="Quarterly",C29/3,IF(D29="Annual",C29/12,0)))</f>
        <v>0</v>
      </c>
    </row>
    <row r="30" spans="1:5" x14ac:dyDescent="0.2">
      <c r="A30" s="23"/>
      <c r="B30" s="23"/>
      <c r="C30" s="24"/>
      <c r="D30" s="23"/>
      <c r="E30" s="7">
        <f>IF(D30="Monthly",C30,IF(D30="Quarterly",C30/3,IF(D30="Annual",C30/12,0)))</f>
        <v>0</v>
      </c>
    </row>
    <row r="31" spans="1:5" x14ac:dyDescent="0.2">
      <c r="A31" s="23"/>
      <c r="B31" s="23"/>
      <c r="C31" s="24"/>
      <c r="D31" s="23"/>
      <c r="E31" s="7">
        <f>IF(D31="Monthly",C31,IF(D31="Quarterly",C31/3,IF(D31="Annual",C31/12,0)))</f>
        <v>0</v>
      </c>
    </row>
    <row r="32" spans="1:5" x14ac:dyDescent="0.2">
      <c r="A32" s="23"/>
      <c r="B32" s="23"/>
      <c r="C32" s="24"/>
      <c r="D32" s="23"/>
      <c r="E32" s="7">
        <f>IF(D32="Monthly",C32,IF(D32="Quarterly",C32/3,IF(D32="Annual",C32/12,0)))</f>
        <v>0</v>
      </c>
    </row>
  </sheetData>
  <mergeCells count="1">
    <mergeCell ref="A1:H2"/>
  </mergeCells>
  <dataValidations count="2">
    <dataValidation type="list" allowBlank="1" showInputMessage="1" showErrorMessage="1" sqref="A18 A19 A20 A21 A22 A23 A24 A25 A26 A27 A28 A29 A30 A31 A32" xr:uid="{A30CBC10-5227-164A-8B05-6549704D9239}">
      <formula1>"Housing,Transportation,Food,Insurance,Debt,Utilities,Entertainment,Other"</formula1>
    </dataValidation>
    <dataValidation type="list" allowBlank="1" showInputMessage="1" showErrorMessage="1" sqref="D18 D19 D20 D21 D22 D23 D24 D25 D26 D27 D28 D29 D30 D31 D32" xr:uid="{84EB5B9B-D41A-7844-8388-7BAE052ECF89}">
      <formula1>"Monthly,Quarterly,Annual,One-Time"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C9F81-E6D2-7141-A9AF-867D808D2E57}">
  <sheetPr codeName="Sheet5"/>
  <dimension ref="A1:H16"/>
  <sheetViews>
    <sheetView workbookViewId="0">
      <selection sqref="A1:H2"/>
    </sheetView>
  </sheetViews>
  <sheetFormatPr baseColWidth="10" defaultRowHeight="15" x14ac:dyDescent="0.2"/>
  <cols>
    <col min="1" max="1" width="32.6640625" style="1" bestFit="1" customWidth="1"/>
    <col min="2" max="2" width="10.83203125" style="1"/>
    <col min="3" max="3" width="3.5" style="1" bestFit="1" customWidth="1"/>
    <col min="4" max="4" width="7" style="1" bestFit="1" customWidth="1"/>
    <col min="5" max="5" width="3" style="1" bestFit="1" customWidth="1"/>
    <col min="6" max="16384" width="10.83203125" style="1"/>
  </cols>
  <sheetData>
    <row r="1" spans="1:8" x14ac:dyDescent="0.2">
      <c r="A1" s="20" t="s">
        <v>41</v>
      </c>
      <c r="B1" s="20"/>
      <c r="C1" s="20"/>
      <c r="D1" s="20"/>
      <c r="E1" s="20"/>
      <c r="F1" s="20"/>
      <c r="G1" s="20"/>
      <c r="H1" s="20"/>
    </row>
    <row r="2" spans="1:8" x14ac:dyDescent="0.2">
      <c r="A2" s="20"/>
      <c r="B2" s="20"/>
      <c r="C2" s="20"/>
      <c r="D2" s="20"/>
      <c r="E2" s="20"/>
      <c r="F2" s="20"/>
      <c r="G2" s="20"/>
      <c r="H2" s="20"/>
    </row>
    <row r="4" spans="1:8" x14ac:dyDescent="0.2">
      <c r="A4" s="21" t="s">
        <v>42</v>
      </c>
    </row>
    <row r="6" spans="1:8" ht="19" x14ac:dyDescent="0.25">
      <c r="A6" s="4" t="s">
        <v>43</v>
      </c>
    </row>
    <row r="8" spans="1:8" x14ac:dyDescent="0.2">
      <c r="A8" s="3" t="s">
        <v>44</v>
      </c>
      <c r="C8" s="24">
        <v>0</v>
      </c>
      <c r="D8" s="1" t="s">
        <v>45</v>
      </c>
      <c r="E8" s="7">
        <f>C8*12</f>
        <v>0</v>
      </c>
    </row>
    <row r="9" spans="1:8" x14ac:dyDescent="0.2">
      <c r="A9" s="3" t="s">
        <v>46</v>
      </c>
      <c r="C9" s="24">
        <v>0</v>
      </c>
      <c r="D9" s="1" t="s">
        <v>45</v>
      </c>
      <c r="E9" s="7">
        <f>C9*12</f>
        <v>0</v>
      </c>
    </row>
    <row r="10" spans="1:8" x14ac:dyDescent="0.2">
      <c r="A10" s="3" t="s">
        <v>47</v>
      </c>
      <c r="C10" s="24">
        <v>0</v>
      </c>
      <c r="D10" s="1" t="s">
        <v>45</v>
      </c>
      <c r="E10" s="7">
        <f>C10*12</f>
        <v>0</v>
      </c>
    </row>
    <row r="11" spans="1:8" x14ac:dyDescent="0.2">
      <c r="A11" s="3" t="s">
        <v>48</v>
      </c>
      <c r="C11" s="24">
        <v>0</v>
      </c>
      <c r="D11" s="1" t="s">
        <v>45</v>
      </c>
      <c r="E11" s="7">
        <f>C11*12</f>
        <v>0</v>
      </c>
    </row>
    <row r="12" spans="1:8" x14ac:dyDescent="0.2">
      <c r="A12" s="3" t="s">
        <v>49</v>
      </c>
      <c r="C12" s="24">
        <v>0</v>
      </c>
      <c r="D12" s="1" t="s">
        <v>45</v>
      </c>
      <c r="E12" s="7">
        <f>C12*12</f>
        <v>0</v>
      </c>
    </row>
    <row r="14" spans="1:8" x14ac:dyDescent="0.2">
      <c r="A14" s="3" t="s">
        <v>50</v>
      </c>
      <c r="C14" s="8">
        <f>SUM(C8:C12)</f>
        <v>0</v>
      </c>
    </row>
    <row r="16" spans="1:8" x14ac:dyDescent="0.2">
      <c r="A16" s="3" t="s">
        <v>51</v>
      </c>
      <c r="C16" s="16">
        <f>IF(Dashboard!B6&gt;0,C14/Dashboard!B6,0)</f>
        <v>0</v>
      </c>
    </row>
  </sheetData>
  <mergeCells count="1">
    <mergeCell ref="A1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CBB4E-3E73-4548-BBC5-1748AC26A362}">
  <sheetPr codeName="Sheet6"/>
  <dimension ref="A1:J21"/>
  <sheetViews>
    <sheetView workbookViewId="0">
      <selection sqref="A1:J2"/>
    </sheetView>
  </sheetViews>
  <sheetFormatPr baseColWidth="10" defaultRowHeight="15" x14ac:dyDescent="0.2"/>
  <cols>
    <col min="1" max="1" width="38.1640625" style="1" bestFit="1" customWidth="1"/>
    <col min="2" max="2" width="10.83203125" style="1"/>
    <col min="3" max="3" width="19.6640625" style="1" bestFit="1" customWidth="1"/>
    <col min="4" max="4" width="4.5" style="1" bestFit="1" customWidth="1"/>
    <col min="5" max="5" width="11" style="1" bestFit="1" customWidth="1"/>
    <col min="6" max="6" width="10.83203125" style="1"/>
    <col min="7" max="7" width="3.6640625" style="1" bestFit="1" customWidth="1"/>
    <col min="8" max="16384" width="10.83203125" style="1"/>
  </cols>
  <sheetData>
    <row r="1" spans="1:10" x14ac:dyDescent="0.2">
      <c r="A1" s="20" t="s">
        <v>52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x14ac:dyDescent="0.2">
      <c r="A2" s="20"/>
      <c r="B2" s="20"/>
      <c r="C2" s="20"/>
      <c r="D2" s="20"/>
      <c r="E2" s="20"/>
      <c r="F2" s="20"/>
      <c r="G2" s="20"/>
      <c r="H2" s="20"/>
      <c r="I2" s="20"/>
      <c r="J2" s="20"/>
    </row>
    <row r="4" spans="1:10" ht="19" x14ac:dyDescent="0.25">
      <c r="A4" s="4" t="s">
        <v>57</v>
      </c>
    </row>
    <row r="6" spans="1:10" x14ac:dyDescent="0.2">
      <c r="A6" s="3" t="s">
        <v>58</v>
      </c>
      <c r="C6" s="29" t="str">
        <f ca="1">IF(AND(Dashboard!B7&gt;0,Dashboard!B8&gt;0),TODAY()+(Dashboard!B7*6-'Wealth Pipeline'!C8)/(Dashboard!B8),"Need Income Data")</f>
        <v>Need Income Data</v>
      </c>
      <c r="E6" s="21" t="str">
        <f ca="1">IF(ISNUMBER(C6),"(" &amp; TEXT((C6-TODAY())/30,"0") &amp; " months)","")</f>
        <v/>
      </c>
    </row>
    <row r="7" spans="1:10" x14ac:dyDescent="0.2">
      <c r="A7" s="3" t="s">
        <v>53</v>
      </c>
      <c r="C7" s="29" t="str">
        <f ca="1">IF(AND(Dashboard!B9&gt;0,Dashboard!B8&gt;0),TODAY()+(Dashboard!B9*12)/(Dashboard!B8*12),IF(Dashboard!B9=0,"Debt Free!","Need Data"))</f>
        <v>Debt Free!</v>
      </c>
      <c r="E7" s="21" t="str">
        <f ca="1">IF(Dashboard!B9=0,"? Complete!",IF(ISNUMBER(C7),"(" &amp; TEXT((C7-TODAY())/365,"0.0") &amp; " years)",""))</f>
        <v>? Complete!</v>
      </c>
    </row>
    <row r="8" spans="1:10" x14ac:dyDescent="0.2">
      <c r="A8" s="3" t="s">
        <v>59</v>
      </c>
      <c r="C8" s="29" t="str">
        <f ca="1">IF(Dashboard!B8&gt;0,TODAY()+(100000-Dashboard!B10)/(Dashboard!B8*12),"Need Savings Data")</f>
        <v>Need Savings Data</v>
      </c>
      <c r="E8" s="21" t="str">
        <f ca="1">IF(ISNUMBER(C8),"(" &amp; TEXT((C8-TODAY())/365,"0.0") &amp; " years)","")</f>
        <v/>
      </c>
    </row>
    <row r="9" spans="1:10" x14ac:dyDescent="0.2">
      <c r="A9" s="3" t="s">
        <v>54</v>
      </c>
      <c r="C9" s="29" t="str">
        <f ca="1">IF(AND(Dashboard!B7&gt;0,Dashboard!B11&gt;0),TODAY()+365*LOG(1/(1-Dashboard!B11))/LOG(1.07),"Need Data")</f>
        <v>Need Data</v>
      </c>
      <c r="E9" s="21" t="str">
        <f ca="1">IF(ISNUMBER(C9),"(" &amp; TEXT((C9-TODAY())/365,"0.0") &amp; " years)","")</f>
        <v/>
      </c>
    </row>
    <row r="12" spans="1:10" ht="19" x14ac:dyDescent="0.25">
      <c r="A12" s="4" t="s">
        <v>60</v>
      </c>
    </row>
    <row r="14" spans="1:10" x14ac:dyDescent="0.2">
      <c r="A14" s="1" t="s">
        <v>61</v>
      </c>
      <c r="C14" s="1" t="s">
        <v>62</v>
      </c>
      <c r="E14" s="23">
        <v>30</v>
      </c>
    </row>
    <row r="15" spans="1:10" x14ac:dyDescent="0.2">
      <c r="A15" s="1" t="s">
        <v>63</v>
      </c>
      <c r="C15" s="30" t="str">
        <f>IF(Dashboard!B11&gt;0,LOG(1/(1-Dashboard!B11))/LOG(1.07),"Need 20%+ Savings Rate")</f>
        <v>Need 20%+ Savings Rate</v>
      </c>
    </row>
    <row r="16" spans="1:10" x14ac:dyDescent="0.2">
      <c r="A16" s="1" t="s">
        <v>64</v>
      </c>
      <c r="C16" s="28" t="str">
        <f>IF(ISNUMBER(C15),E14+C15,"N/A")</f>
        <v>N/A</v>
      </c>
    </row>
    <row r="19" spans="1:7" ht="19" x14ac:dyDescent="0.25">
      <c r="A19" s="4" t="s">
        <v>65</v>
      </c>
    </row>
    <row r="21" spans="1:7" x14ac:dyDescent="0.2">
      <c r="A21" s="1" t="s">
        <v>66</v>
      </c>
      <c r="D21" s="31">
        <v>0.25</v>
      </c>
      <c r="E21" s="1" t="s">
        <v>67</v>
      </c>
      <c r="G21" s="32">
        <f>IF(D21&gt;0,LOG(1/(1-D21))/LOG(1.07),"N/A")</f>
        <v>4.251963037114451</v>
      </c>
    </row>
  </sheetData>
  <mergeCells count="1">
    <mergeCell ref="A1:J2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DBB46-A7D4-E446-AB8B-84C143A5EE39}">
  <sheetPr codeName="Sheet7"/>
  <dimension ref="A1:L42"/>
  <sheetViews>
    <sheetView workbookViewId="0">
      <selection sqref="A1:L2"/>
    </sheetView>
  </sheetViews>
  <sheetFormatPr baseColWidth="10" defaultRowHeight="15" x14ac:dyDescent="0.2"/>
  <cols>
    <col min="1" max="1" width="34.1640625" style="1" bestFit="1" customWidth="1"/>
    <col min="2" max="2" width="10.83203125" style="1"/>
    <col min="3" max="3" width="17" style="1" bestFit="1" customWidth="1"/>
    <col min="4" max="4" width="7.33203125" style="1" bestFit="1" customWidth="1"/>
    <col min="5" max="5" width="10.83203125" style="1"/>
    <col min="6" max="6" width="36.5" style="1" bestFit="1" customWidth="1"/>
    <col min="7" max="7" width="10.83203125" style="1"/>
    <col min="8" max="8" width="3" style="1" bestFit="1" customWidth="1"/>
    <col min="9" max="16384" width="10.83203125" style="1"/>
  </cols>
  <sheetData>
    <row r="1" spans="1:12" x14ac:dyDescent="0.2">
      <c r="A1" s="20" t="s">
        <v>55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x14ac:dyDescent="0.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</row>
    <row r="4" spans="1:12" ht="19" x14ac:dyDescent="0.25">
      <c r="A4" s="33" t="s">
        <v>73</v>
      </c>
      <c r="F4" s="33" t="s">
        <v>84</v>
      </c>
    </row>
    <row r="6" spans="1:12" x14ac:dyDescent="0.2">
      <c r="A6" s="1" t="s">
        <v>74</v>
      </c>
      <c r="C6" s="23"/>
      <c r="F6" s="1" t="s">
        <v>85</v>
      </c>
      <c r="H6" s="24"/>
    </row>
    <row r="7" spans="1:12" x14ac:dyDescent="0.2">
      <c r="A7" s="1" t="s">
        <v>75</v>
      </c>
      <c r="C7" s="24"/>
    </row>
    <row r="8" spans="1:12" x14ac:dyDescent="0.2">
      <c r="A8" s="1" t="s">
        <v>56</v>
      </c>
      <c r="C8" s="34">
        <f>C7/12</f>
        <v>0</v>
      </c>
      <c r="F8" s="3" t="s">
        <v>86</v>
      </c>
    </row>
    <row r="9" spans="1:12" x14ac:dyDescent="0.2">
      <c r="A9" s="1" t="s">
        <v>76</v>
      </c>
      <c r="C9" s="35">
        <f>IF('Income Optimizer'!C26&gt;0,C7/'Income Optimizer'!C26,0)</f>
        <v>0</v>
      </c>
      <c r="F9" s="1" t="s">
        <v>87</v>
      </c>
      <c r="H9" s="7">
        <f>FV(0.07,5,0,-H6)</f>
        <v>0</v>
      </c>
    </row>
    <row r="10" spans="1:12" x14ac:dyDescent="0.2">
      <c r="F10" s="1" t="s">
        <v>88</v>
      </c>
      <c r="H10" s="7">
        <f>FV(0.07,10,0,-H6)</f>
        <v>0</v>
      </c>
    </row>
    <row r="11" spans="1:12" x14ac:dyDescent="0.2">
      <c r="A11" s="3" t="s">
        <v>77</v>
      </c>
      <c r="F11" s="1" t="s">
        <v>89</v>
      </c>
      <c r="H11" s="7">
        <f>FV(0.07,20,0,-H6)</f>
        <v>0</v>
      </c>
    </row>
    <row r="12" spans="1:12" x14ac:dyDescent="0.2">
      <c r="A12" s="1" t="s">
        <v>78</v>
      </c>
      <c r="C12" s="23"/>
      <c r="F12" s="1" t="s">
        <v>90</v>
      </c>
      <c r="H12" s="7">
        <f>FV(0.07,30,0,-H6)</f>
        <v>0</v>
      </c>
    </row>
    <row r="13" spans="1:12" x14ac:dyDescent="0.2">
      <c r="A13" s="1" t="s">
        <v>79</v>
      </c>
      <c r="C13" s="23"/>
    </row>
    <row r="14" spans="1:12" x14ac:dyDescent="0.2">
      <c r="A14" s="1" t="s">
        <v>80</v>
      </c>
      <c r="C14" s="23"/>
    </row>
    <row r="15" spans="1:12" ht="19" x14ac:dyDescent="0.25">
      <c r="A15" s="1" t="s">
        <v>81</v>
      </c>
      <c r="C15" s="23"/>
      <c r="F15" s="33" t="s">
        <v>99</v>
      </c>
    </row>
    <row r="16" spans="1:12" x14ac:dyDescent="0.2">
      <c r="A16" s="1" t="s">
        <v>82</v>
      </c>
      <c r="C16" s="23"/>
    </row>
    <row r="17" spans="1:8" x14ac:dyDescent="0.2">
      <c r="F17" s="1" t="s">
        <v>100</v>
      </c>
      <c r="H17" s="24">
        <v>0</v>
      </c>
    </row>
    <row r="18" spans="1:8" ht="19" x14ac:dyDescent="0.25">
      <c r="A18" s="3" t="s">
        <v>83</v>
      </c>
      <c r="C18" s="36" t="e">
        <f>AVERAGE(C12:C16)</f>
        <v>#DIV/0!</v>
      </c>
      <c r="D18" s="3" t="e">
        <f>IF(C18&gt;=7,"Recommended",IF(C18&gt;=5,"Consider Carefully","Not Recommended"))</f>
        <v>#DIV/0!</v>
      </c>
      <c r="F18" s="3" t="s">
        <v>101</v>
      </c>
    </row>
    <row r="19" spans="1:8" x14ac:dyDescent="0.2">
      <c r="F19" s="1" t="s">
        <v>102</v>
      </c>
      <c r="H19" s="7">
        <f>H17*0.5</f>
        <v>0</v>
      </c>
    </row>
    <row r="20" spans="1:8" x14ac:dyDescent="0.2">
      <c r="F20" s="1" t="s">
        <v>103</v>
      </c>
      <c r="H20" s="24">
        <f>H17*0.3</f>
        <v>0</v>
      </c>
    </row>
    <row r="21" spans="1:8" x14ac:dyDescent="0.2">
      <c r="F21" s="1" t="s">
        <v>104</v>
      </c>
      <c r="H21" s="38">
        <f>H17*0.2</f>
        <v>0</v>
      </c>
    </row>
    <row r="22" spans="1:8" ht="19" x14ac:dyDescent="0.25">
      <c r="A22" s="33" t="s">
        <v>91</v>
      </c>
    </row>
    <row r="24" spans="1:8" x14ac:dyDescent="0.2">
      <c r="A24" s="3" t="s">
        <v>92</v>
      </c>
    </row>
    <row r="25" spans="1:8" x14ac:dyDescent="0.2">
      <c r="A25" s="1" t="s">
        <v>93</v>
      </c>
      <c r="D25" s="23"/>
    </row>
    <row r="26" spans="1:8" x14ac:dyDescent="0.2">
      <c r="A26" s="1" t="s">
        <v>94</v>
      </c>
      <c r="D26" s="23"/>
    </row>
    <row r="27" spans="1:8" x14ac:dyDescent="0.2">
      <c r="A27" s="1" t="s">
        <v>95</v>
      </c>
      <c r="D27" s="23"/>
    </row>
    <row r="28" spans="1:8" x14ac:dyDescent="0.2">
      <c r="A28" s="1" t="s">
        <v>96</v>
      </c>
      <c r="D28" s="23"/>
    </row>
    <row r="29" spans="1:8" x14ac:dyDescent="0.2">
      <c r="A29" s="1" t="s">
        <v>97</v>
      </c>
      <c r="D29" s="23"/>
    </row>
    <row r="31" spans="1:8" x14ac:dyDescent="0.2">
      <c r="A31" s="3" t="s">
        <v>98</v>
      </c>
      <c r="C31" s="37" t="str">
        <f>IF(COUNTIF(D25:D29,"Yes")&gt;=3,"TRUE EMERGENCY","NOT AN EMERGENCY")</f>
        <v>NOT AN EMERGENCY</v>
      </c>
    </row>
    <row r="35" spans="1:6" ht="19" x14ac:dyDescent="0.25">
      <c r="A35" s="5" t="s">
        <v>105</v>
      </c>
    </row>
    <row r="37" spans="1:6" x14ac:dyDescent="0.2">
      <c r="A37" s="3" t="s">
        <v>106</v>
      </c>
      <c r="F37" s="3" t="s">
        <v>112</v>
      </c>
    </row>
    <row r="38" spans="1:6" x14ac:dyDescent="0.2">
      <c r="A38" s="1" t="s">
        <v>107</v>
      </c>
      <c r="F38" s="1" t="s">
        <v>113</v>
      </c>
    </row>
    <row r="39" spans="1:6" x14ac:dyDescent="0.2">
      <c r="A39" s="1" t="s">
        <v>108</v>
      </c>
      <c r="F39" s="1" t="s">
        <v>114</v>
      </c>
    </row>
    <row r="40" spans="1:6" x14ac:dyDescent="0.2">
      <c r="A40" s="1" t="s">
        <v>109</v>
      </c>
      <c r="F40" s="1" t="s">
        <v>115</v>
      </c>
    </row>
    <row r="41" spans="1:6" x14ac:dyDescent="0.2">
      <c r="A41" s="1" t="s">
        <v>110</v>
      </c>
      <c r="F41" s="1" t="s">
        <v>116</v>
      </c>
    </row>
    <row r="42" spans="1:6" x14ac:dyDescent="0.2">
      <c r="A42" s="1" t="s">
        <v>111</v>
      </c>
    </row>
  </sheetData>
  <mergeCells count="1">
    <mergeCell ref="A1:L2"/>
  </mergeCells>
  <dataValidations count="2">
    <dataValidation type="whole" allowBlank="1" showInputMessage="1" showErrorMessage="1" sqref="C12 C13 C14 C15 C16" xr:uid="{D4EBD793-2B57-6F49-8115-6936FEAE755C}">
      <formula1>1</formula1>
      <formula2>10</formula2>
    </dataValidation>
    <dataValidation type="list" allowBlank="1" showInputMessage="1" showErrorMessage="1" sqref="D25 D26 D27 D28 D29" xr:uid="{C1571488-EBB2-1B4D-8013-356DC033C4E2}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001A-4522-2E42-888B-24E3CE95799D}">
  <sheetPr codeName="Sheet8"/>
  <dimension ref="A1:M100"/>
  <sheetViews>
    <sheetView workbookViewId="0">
      <selection sqref="A1:L2"/>
    </sheetView>
  </sheetViews>
  <sheetFormatPr baseColWidth="10" defaultRowHeight="15" x14ac:dyDescent="0.2"/>
  <cols>
    <col min="1" max="1" width="28" style="1" bestFit="1" customWidth="1"/>
    <col min="2" max="2" width="15" style="1" bestFit="1" customWidth="1"/>
    <col min="3" max="3" width="17" style="1" bestFit="1" customWidth="1"/>
    <col min="4" max="4" width="29.5" style="1" bestFit="1" customWidth="1"/>
    <col min="5" max="5" width="9.33203125" style="1" bestFit="1" customWidth="1"/>
    <col min="6" max="6" width="14" style="1" bestFit="1" customWidth="1"/>
    <col min="7" max="7" width="15.1640625" style="1" bestFit="1" customWidth="1"/>
    <col min="8" max="8" width="10.5" style="1" bestFit="1" customWidth="1"/>
    <col min="9" max="9" width="9.1640625" style="1" bestFit="1" customWidth="1"/>
    <col min="10" max="10" width="10.83203125" style="1"/>
    <col min="11" max="11" width="19" style="1" bestFit="1" customWidth="1"/>
    <col min="12" max="12" width="16" style="1" bestFit="1" customWidth="1"/>
    <col min="13" max="13" width="9.33203125" style="1" bestFit="1" customWidth="1"/>
    <col min="14" max="16384" width="10.83203125" style="1"/>
  </cols>
  <sheetData>
    <row r="1" spans="1:13" ht="19" x14ac:dyDescent="0.25">
      <c r="A1" s="5" t="s">
        <v>117</v>
      </c>
      <c r="D1" s="5" t="s">
        <v>131</v>
      </c>
      <c r="K1" s="5" t="s">
        <v>138</v>
      </c>
    </row>
    <row r="3" spans="1:13" x14ac:dyDescent="0.2">
      <c r="A3" s="1" t="s">
        <v>118</v>
      </c>
      <c r="B3" s="1" t="s">
        <v>119</v>
      </c>
      <c r="D3" s="28" t="s">
        <v>132</v>
      </c>
      <c r="E3" s="28" t="s">
        <v>133</v>
      </c>
      <c r="F3" s="28" t="s">
        <v>134</v>
      </c>
      <c r="G3" s="28" t="s">
        <v>135</v>
      </c>
      <c r="H3" s="28" t="s">
        <v>136</v>
      </c>
      <c r="I3" s="28" t="s">
        <v>137</v>
      </c>
      <c r="K3" s="3" t="s">
        <v>139</v>
      </c>
      <c r="L3" s="3" t="s">
        <v>142</v>
      </c>
      <c r="M3" s="3" t="s">
        <v>21</v>
      </c>
    </row>
    <row r="4" spans="1:13" x14ac:dyDescent="0.2">
      <c r="A4" s="1" t="s">
        <v>120</v>
      </c>
      <c r="B4" s="39">
        <v>45801</v>
      </c>
      <c r="D4" s="41">
        <v>45801</v>
      </c>
      <c r="E4" s="6">
        <f>Dashboard!B10</f>
        <v>0</v>
      </c>
      <c r="F4" s="6">
        <f>Dashboard!B6</f>
        <v>0</v>
      </c>
      <c r="G4" s="6">
        <f>Dashboard!B7</f>
        <v>0</v>
      </c>
      <c r="H4" s="10">
        <f>Dashboard!B11</f>
        <v>0</v>
      </c>
      <c r="I4" s="6">
        <f>Dashboard!B9</f>
        <v>0</v>
      </c>
      <c r="K4" s="1" t="s">
        <v>70</v>
      </c>
      <c r="L4" s="1" t="s">
        <v>72</v>
      </c>
      <c r="M4" s="1" t="s">
        <v>71</v>
      </c>
    </row>
    <row r="5" spans="1:13" x14ac:dyDescent="0.2">
      <c r="A5" s="1" t="s">
        <v>121</v>
      </c>
      <c r="B5" s="40">
        <v>45801.429398148146</v>
      </c>
      <c r="D5" s="41"/>
      <c r="E5" s="6"/>
      <c r="F5" s="6"/>
      <c r="G5" s="6"/>
      <c r="H5" s="10"/>
      <c r="I5" s="6"/>
      <c r="K5" s="1" t="s">
        <v>140</v>
      </c>
      <c r="L5" s="1" t="s">
        <v>143</v>
      </c>
      <c r="M5" s="1" t="s">
        <v>149</v>
      </c>
    </row>
    <row r="6" spans="1:13" x14ac:dyDescent="0.2">
      <c r="A6" s="1" t="s">
        <v>122</v>
      </c>
      <c r="B6" s="1" t="s">
        <v>123</v>
      </c>
      <c r="D6" s="41"/>
      <c r="E6" s="6"/>
      <c r="F6" s="6"/>
      <c r="G6" s="6"/>
      <c r="H6" s="10"/>
      <c r="I6" s="6"/>
      <c r="K6" s="1" t="s">
        <v>141</v>
      </c>
      <c r="L6" s="1" t="s">
        <v>144</v>
      </c>
      <c r="M6" s="1" t="s">
        <v>150</v>
      </c>
    </row>
    <row r="7" spans="1:13" x14ac:dyDescent="0.2">
      <c r="A7" s="1" t="s">
        <v>124</v>
      </c>
      <c r="B7" s="1" t="s">
        <v>125</v>
      </c>
      <c r="D7" s="41"/>
      <c r="E7" s="6"/>
      <c r="F7" s="6"/>
      <c r="G7" s="6"/>
      <c r="H7" s="10"/>
      <c r="I7" s="6"/>
      <c r="K7" s="1" t="s">
        <v>68</v>
      </c>
      <c r="L7" s="1" t="s">
        <v>145</v>
      </c>
      <c r="M7" s="1" t="s">
        <v>151</v>
      </c>
    </row>
    <row r="8" spans="1:13" x14ac:dyDescent="0.2">
      <c r="D8" s="41"/>
      <c r="E8" s="6"/>
      <c r="F8" s="6"/>
      <c r="G8" s="6"/>
      <c r="H8" s="10"/>
      <c r="I8" s="6"/>
      <c r="L8" s="1" t="s">
        <v>146</v>
      </c>
      <c r="M8" s="1" t="s">
        <v>152</v>
      </c>
    </row>
    <row r="9" spans="1:13" x14ac:dyDescent="0.2">
      <c r="D9" s="41"/>
      <c r="E9" s="6"/>
      <c r="F9" s="6"/>
      <c r="G9" s="6"/>
      <c r="H9" s="10"/>
      <c r="I9" s="6"/>
      <c r="L9" s="1" t="s">
        <v>147</v>
      </c>
      <c r="M9" s="1" t="s">
        <v>153</v>
      </c>
    </row>
    <row r="10" spans="1:13" ht="19" x14ac:dyDescent="0.25">
      <c r="A10" s="5" t="s">
        <v>126</v>
      </c>
      <c r="D10" s="41"/>
      <c r="E10" s="6"/>
      <c r="F10" s="6"/>
      <c r="G10" s="6"/>
      <c r="H10" s="10"/>
      <c r="I10" s="6"/>
      <c r="L10" s="1" t="s">
        <v>148</v>
      </c>
    </row>
    <row r="11" spans="1:13" x14ac:dyDescent="0.2">
      <c r="D11" s="41"/>
      <c r="E11" s="6"/>
      <c r="F11" s="6"/>
      <c r="G11" s="6"/>
      <c r="H11" s="10"/>
      <c r="I11" s="6"/>
      <c r="L11" s="1" t="s">
        <v>68</v>
      </c>
    </row>
    <row r="12" spans="1:13" x14ac:dyDescent="0.2">
      <c r="A12" s="1" t="s">
        <v>127</v>
      </c>
      <c r="B12" s="23"/>
      <c r="D12" s="41"/>
      <c r="E12" s="6"/>
      <c r="F12" s="6"/>
      <c r="G12" s="6"/>
      <c r="H12" s="10"/>
      <c r="I12" s="6"/>
    </row>
    <row r="13" spans="1:13" x14ac:dyDescent="0.2">
      <c r="A13" s="1" t="s">
        <v>128</v>
      </c>
      <c r="B13" s="23"/>
      <c r="D13" s="41"/>
      <c r="E13" s="6"/>
      <c r="F13" s="6"/>
      <c r="G13" s="6"/>
      <c r="H13" s="10"/>
      <c r="I13" s="6"/>
    </row>
    <row r="14" spans="1:13" x14ac:dyDescent="0.2">
      <c r="A14" s="1" t="s">
        <v>129</v>
      </c>
      <c r="B14" s="23">
        <v>30</v>
      </c>
      <c r="D14" s="41"/>
      <c r="E14" s="6"/>
      <c r="F14" s="6"/>
      <c r="G14" s="6"/>
      <c r="H14" s="10"/>
      <c r="I14" s="6"/>
    </row>
    <row r="15" spans="1:13" x14ac:dyDescent="0.2">
      <c r="A15" s="1" t="s">
        <v>130</v>
      </c>
      <c r="B15" s="23">
        <v>65</v>
      </c>
      <c r="D15" s="41"/>
      <c r="E15" s="6"/>
      <c r="F15" s="6"/>
      <c r="G15" s="6"/>
      <c r="H15" s="10"/>
      <c r="I15" s="6"/>
    </row>
    <row r="16" spans="1:13" x14ac:dyDescent="0.2">
      <c r="D16" s="41"/>
      <c r="E16" s="6"/>
      <c r="F16" s="6"/>
      <c r="G16" s="6"/>
      <c r="H16" s="10"/>
      <c r="I16" s="6"/>
    </row>
    <row r="17" spans="1:9" x14ac:dyDescent="0.2">
      <c r="D17" s="41"/>
      <c r="E17" s="6"/>
      <c r="F17" s="6"/>
      <c r="G17" s="6"/>
      <c r="H17" s="10"/>
      <c r="I17" s="6"/>
    </row>
    <row r="18" spans="1:9" x14ac:dyDescent="0.2">
      <c r="D18" s="41"/>
      <c r="E18" s="6"/>
      <c r="F18" s="6"/>
      <c r="G18" s="6"/>
      <c r="H18" s="10"/>
      <c r="I18" s="6"/>
    </row>
    <row r="19" spans="1:9" x14ac:dyDescent="0.2">
      <c r="D19" s="41"/>
      <c r="E19" s="6"/>
      <c r="F19" s="6"/>
      <c r="G19" s="6"/>
      <c r="H19" s="10"/>
      <c r="I19" s="6"/>
    </row>
    <row r="20" spans="1:9" ht="19" x14ac:dyDescent="0.25">
      <c r="A20" s="5" t="s">
        <v>154</v>
      </c>
      <c r="D20" s="41"/>
      <c r="E20" s="6"/>
      <c r="F20" s="6"/>
      <c r="G20" s="6"/>
      <c r="H20" s="10"/>
      <c r="I20" s="6"/>
    </row>
    <row r="21" spans="1:9" x14ac:dyDescent="0.2">
      <c r="D21" s="41"/>
      <c r="E21" s="6"/>
      <c r="F21" s="6"/>
      <c r="G21" s="6"/>
      <c r="H21" s="10"/>
      <c r="I21" s="6"/>
    </row>
    <row r="22" spans="1:9" x14ac:dyDescent="0.2">
      <c r="A22" s="1" t="s">
        <v>155</v>
      </c>
      <c r="B22" s="24">
        <f>'Expense Control'!C12*6</f>
        <v>0</v>
      </c>
      <c r="D22" s="41"/>
      <c r="E22" s="6"/>
      <c r="F22" s="6"/>
      <c r="G22" s="6"/>
      <c r="H22" s="10"/>
      <c r="I22" s="6"/>
    </row>
    <row r="23" spans="1:9" x14ac:dyDescent="0.2">
      <c r="A23" s="1" t="s">
        <v>156</v>
      </c>
      <c r="B23" s="41">
        <v>46166</v>
      </c>
      <c r="D23" s="41"/>
      <c r="E23" s="6"/>
      <c r="F23" s="6"/>
      <c r="G23" s="6"/>
      <c r="H23" s="10"/>
      <c r="I23" s="6"/>
    </row>
    <row r="24" spans="1:9" x14ac:dyDescent="0.2">
      <c r="A24" s="1" t="s">
        <v>157</v>
      </c>
      <c r="B24" s="41">
        <v>46896</v>
      </c>
      <c r="D24" s="41"/>
      <c r="E24" s="6"/>
      <c r="F24" s="6"/>
      <c r="G24" s="6"/>
      <c r="H24" s="10"/>
      <c r="I24" s="6"/>
    </row>
    <row r="25" spans="1:9" x14ac:dyDescent="0.2">
      <c r="A25" s="1" t="s">
        <v>158</v>
      </c>
      <c r="B25" s="6">
        <f>'Expense Control'!C12*12*25</f>
        <v>0</v>
      </c>
      <c r="D25" s="41"/>
      <c r="E25" s="6"/>
      <c r="F25" s="6"/>
      <c r="G25" s="6"/>
      <c r="H25" s="10"/>
      <c r="I25" s="6"/>
    </row>
    <row r="26" spans="1:9" x14ac:dyDescent="0.2">
      <c r="D26" s="41"/>
      <c r="E26" s="6"/>
      <c r="F26" s="6"/>
      <c r="G26" s="6"/>
      <c r="H26" s="10"/>
      <c r="I26" s="6"/>
    </row>
    <row r="27" spans="1:9" x14ac:dyDescent="0.2">
      <c r="D27" s="41"/>
      <c r="E27" s="6"/>
      <c r="F27" s="6"/>
      <c r="G27" s="6"/>
      <c r="H27" s="10"/>
      <c r="I27" s="6"/>
    </row>
    <row r="28" spans="1:9" x14ac:dyDescent="0.2">
      <c r="D28" s="41"/>
      <c r="E28" s="6"/>
      <c r="F28" s="6"/>
      <c r="G28" s="6"/>
      <c r="H28" s="10"/>
      <c r="I28" s="6"/>
    </row>
    <row r="29" spans="1:9" x14ac:dyDescent="0.2">
      <c r="D29" s="41"/>
      <c r="E29" s="6"/>
      <c r="F29" s="6"/>
      <c r="G29" s="6"/>
      <c r="H29" s="10"/>
      <c r="I29" s="6"/>
    </row>
    <row r="30" spans="1:9" x14ac:dyDescent="0.2">
      <c r="D30" s="41"/>
      <c r="E30" s="6"/>
      <c r="F30" s="6"/>
      <c r="G30" s="6"/>
      <c r="H30" s="10"/>
      <c r="I30" s="6"/>
    </row>
    <row r="31" spans="1:9" x14ac:dyDescent="0.2">
      <c r="D31" s="41"/>
      <c r="E31" s="6"/>
      <c r="F31" s="6"/>
      <c r="G31" s="6"/>
      <c r="H31" s="10"/>
      <c r="I31" s="6"/>
    </row>
    <row r="32" spans="1:9" x14ac:dyDescent="0.2">
      <c r="D32" s="41"/>
      <c r="E32" s="6"/>
      <c r="F32" s="6"/>
      <c r="G32" s="6"/>
      <c r="H32" s="10"/>
      <c r="I32" s="6"/>
    </row>
    <row r="33" spans="4:9" x14ac:dyDescent="0.2">
      <c r="D33" s="41"/>
      <c r="E33" s="6"/>
      <c r="F33" s="6"/>
      <c r="G33" s="6"/>
      <c r="H33" s="10"/>
      <c r="I33" s="6"/>
    </row>
    <row r="34" spans="4:9" x14ac:dyDescent="0.2">
      <c r="D34" s="41"/>
      <c r="E34" s="6"/>
      <c r="F34" s="6"/>
      <c r="G34" s="6"/>
      <c r="H34" s="10"/>
      <c r="I34" s="6"/>
    </row>
    <row r="35" spans="4:9" x14ac:dyDescent="0.2">
      <c r="D35" s="41"/>
      <c r="E35" s="6"/>
      <c r="F35" s="6"/>
      <c r="G35" s="6"/>
      <c r="H35" s="10"/>
      <c r="I35" s="6"/>
    </row>
    <row r="36" spans="4:9" x14ac:dyDescent="0.2">
      <c r="D36" s="41"/>
      <c r="E36" s="6"/>
      <c r="F36" s="6"/>
      <c r="G36" s="6"/>
      <c r="H36" s="10"/>
      <c r="I36" s="6"/>
    </row>
    <row r="37" spans="4:9" x14ac:dyDescent="0.2">
      <c r="D37" s="41"/>
      <c r="E37" s="6"/>
      <c r="F37" s="6"/>
      <c r="G37" s="6"/>
      <c r="H37" s="10"/>
      <c r="I37" s="6"/>
    </row>
    <row r="38" spans="4:9" x14ac:dyDescent="0.2">
      <c r="D38" s="41"/>
      <c r="E38" s="6"/>
      <c r="F38" s="6"/>
      <c r="G38" s="6"/>
      <c r="H38" s="10"/>
      <c r="I38" s="6"/>
    </row>
    <row r="39" spans="4:9" x14ac:dyDescent="0.2">
      <c r="D39" s="41"/>
      <c r="E39" s="6"/>
      <c r="F39" s="6"/>
      <c r="G39" s="6"/>
      <c r="H39" s="10"/>
      <c r="I39" s="6"/>
    </row>
    <row r="40" spans="4:9" x14ac:dyDescent="0.2">
      <c r="D40" s="41"/>
      <c r="E40" s="6"/>
      <c r="F40" s="6"/>
      <c r="G40" s="6"/>
      <c r="H40" s="10"/>
      <c r="I40" s="6"/>
    </row>
    <row r="41" spans="4:9" x14ac:dyDescent="0.2">
      <c r="D41" s="41"/>
      <c r="E41" s="6"/>
      <c r="F41" s="6"/>
      <c r="G41" s="6"/>
      <c r="H41" s="10"/>
      <c r="I41" s="6"/>
    </row>
    <row r="42" spans="4:9" x14ac:dyDescent="0.2">
      <c r="D42" s="41"/>
      <c r="E42" s="6"/>
      <c r="F42" s="6"/>
      <c r="G42" s="6"/>
      <c r="H42" s="10"/>
      <c r="I42" s="6"/>
    </row>
    <row r="43" spans="4:9" x14ac:dyDescent="0.2">
      <c r="D43" s="41"/>
      <c r="E43" s="6"/>
      <c r="F43" s="6"/>
      <c r="G43" s="6"/>
      <c r="H43" s="10"/>
      <c r="I43" s="6"/>
    </row>
    <row r="44" spans="4:9" x14ac:dyDescent="0.2">
      <c r="D44" s="41"/>
      <c r="E44" s="6"/>
      <c r="F44" s="6"/>
      <c r="G44" s="6"/>
      <c r="H44" s="10"/>
      <c r="I44" s="6"/>
    </row>
    <row r="45" spans="4:9" x14ac:dyDescent="0.2">
      <c r="D45" s="41"/>
      <c r="E45" s="6"/>
      <c r="F45" s="6"/>
      <c r="G45" s="6"/>
      <c r="H45" s="10"/>
      <c r="I45" s="6"/>
    </row>
    <row r="46" spans="4:9" x14ac:dyDescent="0.2">
      <c r="D46" s="41"/>
      <c r="E46" s="6"/>
      <c r="F46" s="6"/>
      <c r="G46" s="6"/>
      <c r="H46" s="10"/>
      <c r="I46" s="6"/>
    </row>
    <row r="47" spans="4:9" x14ac:dyDescent="0.2">
      <c r="D47" s="41"/>
      <c r="E47" s="6"/>
      <c r="F47" s="6"/>
      <c r="G47" s="6"/>
      <c r="H47" s="10"/>
      <c r="I47" s="6"/>
    </row>
    <row r="48" spans="4:9" x14ac:dyDescent="0.2">
      <c r="D48" s="41"/>
      <c r="E48" s="6"/>
      <c r="F48" s="6"/>
      <c r="G48" s="6"/>
      <c r="H48" s="10"/>
      <c r="I48" s="6"/>
    </row>
    <row r="49" spans="4:9" x14ac:dyDescent="0.2">
      <c r="D49" s="41"/>
      <c r="E49" s="6"/>
      <c r="F49" s="6"/>
      <c r="G49" s="6"/>
      <c r="H49" s="10"/>
      <c r="I49" s="6"/>
    </row>
    <row r="50" spans="4:9" x14ac:dyDescent="0.2">
      <c r="D50" s="41"/>
      <c r="E50" s="6"/>
      <c r="F50" s="6"/>
      <c r="G50" s="6"/>
      <c r="H50" s="10"/>
      <c r="I50" s="6"/>
    </row>
    <row r="51" spans="4:9" x14ac:dyDescent="0.2">
      <c r="D51" s="41"/>
      <c r="E51" s="6"/>
      <c r="F51" s="6"/>
      <c r="G51" s="6"/>
      <c r="H51" s="10"/>
      <c r="I51" s="6"/>
    </row>
    <row r="52" spans="4:9" x14ac:dyDescent="0.2">
      <c r="D52" s="41"/>
      <c r="E52" s="6"/>
      <c r="F52" s="6"/>
      <c r="G52" s="6"/>
      <c r="H52" s="10"/>
      <c r="I52" s="6"/>
    </row>
    <row r="53" spans="4:9" x14ac:dyDescent="0.2">
      <c r="D53" s="41"/>
      <c r="E53" s="6"/>
      <c r="F53" s="6"/>
      <c r="G53" s="6"/>
      <c r="H53" s="10"/>
      <c r="I53" s="6"/>
    </row>
    <row r="54" spans="4:9" x14ac:dyDescent="0.2">
      <c r="D54" s="41"/>
      <c r="E54" s="6"/>
      <c r="F54" s="6"/>
      <c r="G54" s="6"/>
      <c r="H54" s="10"/>
      <c r="I54" s="6"/>
    </row>
    <row r="55" spans="4:9" x14ac:dyDescent="0.2">
      <c r="D55" s="41"/>
      <c r="E55" s="6"/>
      <c r="F55" s="6"/>
      <c r="G55" s="6"/>
      <c r="H55" s="10"/>
      <c r="I55" s="6"/>
    </row>
    <row r="56" spans="4:9" x14ac:dyDescent="0.2">
      <c r="D56" s="41"/>
      <c r="E56" s="6"/>
      <c r="F56" s="6"/>
      <c r="G56" s="6"/>
      <c r="H56" s="10"/>
      <c r="I56" s="6"/>
    </row>
    <row r="57" spans="4:9" x14ac:dyDescent="0.2">
      <c r="D57" s="41"/>
      <c r="E57" s="6"/>
      <c r="F57" s="6"/>
      <c r="G57" s="6"/>
      <c r="H57" s="10"/>
      <c r="I57" s="6"/>
    </row>
    <row r="58" spans="4:9" x14ac:dyDescent="0.2">
      <c r="D58" s="41"/>
      <c r="E58" s="6"/>
      <c r="F58" s="6"/>
      <c r="G58" s="6"/>
      <c r="H58" s="10"/>
      <c r="I58" s="6"/>
    </row>
    <row r="59" spans="4:9" x14ac:dyDescent="0.2">
      <c r="D59" s="41"/>
      <c r="E59" s="6"/>
      <c r="F59" s="6"/>
      <c r="G59" s="6"/>
      <c r="H59" s="10"/>
      <c r="I59" s="6"/>
    </row>
    <row r="60" spans="4:9" x14ac:dyDescent="0.2">
      <c r="D60" s="41"/>
      <c r="E60" s="6"/>
      <c r="F60" s="6"/>
      <c r="G60" s="6"/>
      <c r="H60" s="10"/>
      <c r="I60" s="6"/>
    </row>
    <row r="61" spans="4:9" x14ac:dyDescent="0.2">
      <c r="D61" s="41"/>
      <c r="E61" s="6"/>
      <c r="F61" s="6"/>
      <c r="G61" s="6"/>
      <c r="H61" s="10"/>
      <c r="I61" s="6"/>
    </row>
    <row r="62" spans="4:9" x14ac:dyDescent="0.2">
      <c r="D62" s="41"/>
      <c r="E62" s="6"/>
      <c r="F62" s="6"/>
      <c r="G62" s="6"/>
      <c r="H62" s="10"/>
      <c r="I62" s="6"/>
    </row>
    <row r="63" spans="4:9" x14ac:dyDescent="0.2">
      <c r="D63" s="41"/>
      <c r="E63" s="6"/>
      <c r="F63" s="6"/>
      <c r="G63" s="6"/>
      <c r="H63" s="10"/>
      <c r="I63" s="6"/>
    </row>
    <row r="64" spans="4:9" x14ac:dyDescent="0.2">
      <c r="D64" s="41"/>
      <c r="E64" s="6"/>
      <c r="F64" s="6"/>
      <c r="G64" s="6"/>
      <c r="H64" s="10"/>
      <c r="I64" s="6"/>
    </row>
    <row r="65" spans="4:9" x14ac:dyDescent="0.2">
      <c r="D65" s="41"/>
      <c r="E65" s="6"/>
      <c r="F65" s="6"/>
      <c r="G65" s="6"/>
      <c r="H65" s="10"/>
      <c r="I65" s="6"/>
    </row>
    <row r="66" spans="4:9" x14ac:dyDescent="0.2">
      <c r="D66" s="41"/>
      <c r="E66" s="6"/>
      <c r="F66" s="6"/>
      <c r="G66" s="6"/>
      <c r="H66" s="10"/>
      <c r="I66" s="6"/>
    </row>
    <row r="67" spans="4:9" x14ac:dyDescent="0.2">
      <c r="D67" s="41"/>
      <c r="E67" s="6"/>
      <c r="F67" s="6"/>
      <c r="G67" s="6"/>
      <c r="H67" s="10"/>
      <c r="I67" s="6"/>
    </row>
    <row r="68" spans="4:9" x14ac:dyDescent="0.2">
      <c r="D68" s="41"/>
      <c r="E68" s="6"/>
      <c r="F68" s="6"/>
      <c r="G68" s="6"/>
      <c r="H68" s="10"/>
      <c r="I68" s="6"/>
    </row>
    <row r="69" spans="4:9" x14ac:dyDescent="0.2">
      <c r="D69" s="41"/>
      <c r="E69" s="6"/>
      <c r="F69" s="6"/>
      <c r="G69" s="6"/>
      <c r="H69" s="10"/>
      <c r="I69" s="6"/>
    </row>
    <row r="70" spans="4:9" x14ac:dyDescent="0.2">
      <c r="D70" s="41"/>
      <c r="E70" s="6"/>
      <c r="F70" s="6"/>
      <c r="G70" s="6"/>
      <c r="H70" s="10"/>
      <c r="I70" s="6"/>
    </row>
    <row r="71" spans="4:9" x14ac:dyDescent="0.2">
      <c r="D71" s="41"/>
      <c r="E71" s="6"/>
      <c r="F71" s="6"/>
      <c r="G71" s="6"/>
      <c r="H71" s="10"/>
      <c r="I71" s="6"/>
    </row>
    <row r="72" spans="4:9" x14ac:dyDescent="0.2">
      <c r="D72" s="41"/>
      <c r="E72" s="6"/>
      <c r="F72" s="6"/>
      <c r="G72" s="6"/>
      <c r="H72" s="10"/>
      <c r="I72" s="6"/>
    </row>
    <row r="73" spans="4:9" x14ac:dyDescent="0.2">
      <c r="D73" s="41"/>
      <c r="E73" s="6"/>
      <c r="F73" s="6"/>
      <c r="G73" s="6"/>
      <c r="H73" s="10"/>
      <c r="I73" s="6"/>
    </row>
    <row r="74" spans="4:9" x14ac:dyDescent="0.2">
      <c r="D74" s="41"/>
      <c r="E74" s="6"/>
      <c r="F74" s="6"/>
      <c r="G74" s="6"/>
      <c r="H74" s="10"/>
      <c r="I74" s="6"/>
    </row>
    <row r="75" spans="4:9" x14ac:dyDescent="0.2">
      <c r="D75" s="41"/>
      <c r="E75" s="6"/>
      <c r="F75" s="6"/>
      <c r="G75" s="6"/>
      <c r="H75" s="10"/>
      <c r="I75" s="6"/>
    </row>
    <row r="76" spans="4:9" x14ac:dyDescent="0.2">
      <c r="D76" s="41"/>
      <c r="E76" s="6"/>
      <c r="F76" s="6"/>
      <c r="G76" s="6"/>
      <c r="H76" s="10"/>
      <c r="I76" s="6"/>
    </row>
    <row r="77" spans="4:9" x14ac:dyDescent="0.2">
      <c r="D77" s="41"/>
      <c r="E77" s="6"/>
      <c r="F77" s="6"/>
      <c r="G77" s="6"/>
      <c r="H77" s="10"/>
      <c r="I77" s="6"/>
    </row>
    <row r="78" spans="4:9" x14ac:dyDescent="0.2">
      <c r="D78" s="41"/>
      <c r="E78" s="6"/>
      <c r="F78" s="6"/>
      <c r="G78" s="6"/>
      <c r="H78" s="10"/>
      <c r="I78" s="6"/>
    </row>
    <row r="79" spans="4:9" x14ac:dyDescent="0.2">
      <c r="D79" s="41"/>
      <c r="E79" s="6"/>
      <c r="F79" s="6"/>
      <c r="G79" s="6"/>
      <c r="H79" s="10"/>
      <c r="I79" s="6"/>
    </row>
    <row r="80" spans="4:9" x14ac:dyDescent="0.2">
      <c r="D80" s="41"/>
      <c r="E80" s="6"/>
      <c r="F80" s="6"/>
      <c r="G80" s="6"/>
      <c r="H80" s="10"/>
      <c r="I80" s="6"/>
    </row>
    <row r="81" spans="4:9" x14ac:dyDescent="0.2">
      <c r="D81" s="41"/>
      <c r="E81" s="6"/>
      <c r="F81" s="6"/>
      <c r="G81" s="6"/>
      <c r="H81" s="10"/>
      <c r="I81" s="6"/>
    </row>
    <row r="82" spans="4:9" x14ac:dyDescent="0.2">
      <c r="D82" s="41"/>
      <c r="E82" s="6"/>
      <c r="F82" s="6"/>
      <c r="G82" s="6"/>
      <c r="H82" s="10"/>
      <c r="I82" s="6"/>
    </row>
    <row r="83" spans="4:9" x14ac:dyDescent="0.2">
      <c r="D83" s="41"/>
      <c r="E83" s="6"/>
      <c r="F83" s="6"/>
      <c r="G83" s="6"/>
      <c r="H83" s="10"/>
      <c r="I83" s="6"/>
    </row>
    <row r="84" spans="4:9" x14ac:dyDescent="0.2">
      <c r="D84" s="41"/>
      <c r="E84" s="6"/>
      <c r="F84" s="6"/>
      <c r="G84" s="6"/>
      <c r="H84" s="10"/>
      <c r="I84" s="6"/>
    </row>
    <row r="85" spans="4:9" x14ac:dyDescent="0.2">
      <c r="D85" s="41"/>
      <c r="E85" s="6"/>
      <c r="F85" s="6"/>
      <c r="G85" s="6"/>
      <c r="H85" s="10"/>
      <c r="I85" s="6"/>
    </row>
    <row r="86" spans="4:9" x14ac:dyDescent="0.2">
      <c r="D86" s="41"/>
      <c r="E86" s="6"/>
      <c r="F86" s="6"/>
      <c r="G86" s="6"/>
      <c r="H86" s="10"/>
      <c r="I86" s="6"/>
    </row>
    <row r="87" spans="4:9" x14ac:dyDescent="0.2">
      <c r="D87" s="41"/>
      <c r="E87" s="6"/>
      <c r="F87" s="6"/>
      <c r="G87" s="6"/>
      <c r="H87" s="10"/>
      <c r="I87" s="6"/>
    </row>
    <row r="88" spans="4:9" x14ac:dyDescent="0.2">
      <c r="D88" s="41"/>
      <c r="E88" s="6"/>
      <c r="F88" s="6"/>
      <c r="G88" s="6"/>
      <c r="H88" s="10"/>
      <c r="I88" s="6"/>
    </row>
    <row r="89" spans="4:9" x14ac:dyDescent="0.2">
      <c r="D89" s="41"/>
      <c r="E89" s="6"/>
      <c r="F89" s="6"/>
      <c r="G89" s="6"/>
      <c r="H89" s="10"/>
      <c r="I89" s="6"/>
    </row>
    <row r="90" spans="4:9" x14ac:dyDescent="0.2">
      <c r="D90" s="41"/>
      <c r="E90" s="6"/>
      <c r="F90" s="6"/>
      <c r="G90" s="6"/>
      <c r="H90" s="10"/>
      <c r="I90" s="6"/>
    </row>
    <row r="91" spans="4:9" x14ac:dyDescent="0.2">
      <c r="D91" s="41"/>
      <c r="E91" s="6"/>
      <c r="F91" s="6"/>
      <c r="G91" s="6"/>
      <c r="H91" s="10"/>
      <c r="I91" s="6"/>
    </row>
    <row r="92" spans="4:9" x14ac:dyDescent="0.2">
      <c r="D92" s="41"/>
      <c r="E92" s="6"/>
      <c r="F92" s="6"/>
      <c r="G92" s="6"/>
      <c r="H92" s="10"/>
      <c r="I92" s="6"/>
    </row>
    <row r="93" spans="4:9" x14ac:dyDescent="0.2">
      <c r="D93" s="41"/>
      <c r="E93" s="6"/>
      <c r="F93" s="6"/>
      <c r="G93" s="6"/>
      <c r="H93" s="10"/>
      <c r="I93" s="6"/>
    </row>
    <row r="94" spans="4:9" x14ac:dyDescent="0.2">
      <c r="D94" s="41"/>
      <c r="E94" s="6"/>
      <c r="F94" s="6"/>
      <c r="G94" s="6"/>
      <c r="H94" s="10"/>
      <c r="I94" s="6"/>
    </row>
    <row r="95" spans="4:9" x14ac:dyDescent="0.2">
      <c r="D95" s="41"/>
      <c r="E95" s="6"/>
      <c r="F95" s="6"/>
      <c r="G95" s="6"/>
      <c r="H95" s="10"/>
      <c r="I95" s="6"/>
    </row>
    <row r="96" spans="4:9" x14ac:dyDescent="0.2">
      <c r="D96" s="41"/>
      <c r="E96" s="6"/>
      <c r="F96" s="6"/>
      <c r="G96" s="6"/>
      <c r="H96" s="10"/>
      <c r="I96" s="6"/>
    </row>
    <row r="97" spans="4:9" x14ac:dyDescent="0.2">
      <c r="D97" s="41"/>
      <c r="E97" s="6"/>
      <c r="F97" s="6"/>
      <c r="G97" s="6"/>
      <c r="H97" s="10"/>
      <c r="I97" s="6"/>
    </row>
    <row r="98" spans="4:9" x14ac:dyDescent="0.2">
      <c r="D98" s="41"/>
      <c r="E98" s="6"/>
      <c r="F98" s="6"/>
      <c r="G98" s="6"/>
      <c r="H98" s="10"/>
      <c r="I98" s="6"/>
    </row>
    <row r="99" spans="4:9" x14ac:dyDescent="0.2">
      <c r="D99" s="41"/>
      <c r="E99" s="6"/>
      <c r="F99" s="6"/>
      <c r="G99" s="6"/>
      <c r="H99" s="10"/>
      <c r="I99" s="6"/>
    </row>
    <row r="100" spans="4:9" x14ac:dyDescent="0.2">
      <c r="D100" s="41"/>
      <c r="E100" s="6"/>
      <c r="F100" s="6"/>
      <c r="G100" s="6"/>
      <c r="H100" s="10"/>
      <c r="I10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0E02B-FDE2-374C-81D2-EF514A99240A}">
  <sheetPr codeName="Sheet9"/>
  <dimension ref="A1:H31"/>
  <sheetViews>
    <sheetView tabSelected="1" workbookViewId="0">
      <selection activeCell="C6" sqref="C6"/>
    </sheetView>
  </sheetViews>
  <sheetFormatPr baseColWidth="10" defaultRowHeight="15" x14ac:dyDescent="0.2"/>
  <cols>
    <col min="1" max="1" width="29.5" style="1" bestFit="1" customWidth="1"/>
    <col min="2" max="2" width="10.83203125" style="1"/>
    <col min="3" max="3" width="10.1640625" style="1" bestFit="1" customWidth="1"/>
    <col min="4" max="5" width="10.83203125" style="1"/>
    <col min="6" max="6" width="26.6640625" style="1" bestFit="1" customWidth="1"/>
    <col min="7" max="16384" width="10.83203125" style="1"/>
  </cols>
  <sheetData>
    <row r="1" spans="1:8" x14ac:dyDescent="0.2">
      <c r="A1" s="20" t="s">
        <v>159</v>
      </c>
      <c r="B1" s="20"/>
      <c r="C1" s="20"/>
      <c r="D1" s="20"/>
      <c r="E1" s="20"/>
      <c r="F1" s="20"/>
      <c r="G1" s="20"/>
      <c r="H1" s="20"/>
    </row>
    <row r="2" spans="1:8" x14ac:dyDescent="0.2">
      <c r="A2" s="20"/>
      <c r="B2" s="20"/>
      <c r="C2" s="20"/>
      <c r="D2" s="20"/>
      <c r="E2" s="20"/>
      <c r="F2" s="20"/>
      <c r="G2" s="20"/>
      <c r="H2" s="20"/>
    </row>
    <row r="4" spans="1:8" ht="19" x14ac:dyDescent="0.25">
      <c r="A4" s="33" t="s">
        <v>160</v>
      </c>
      <c r="F4" s="33" t="s">
        <v>170</v>
      </c>
    </row>
    <row r="6" spans="1:8" x14ac:dyDescent="0.2">
      <c r="A6" s="1" t="s">
        <v>161</v>
      </c>
      <c r="C6" s="23" t="s">
        <v>162</v>
      </c>
      <c r="F6" s="1" t="s">
        <v>122</v>
      </c>
      <c r="H6" s="23" t="s">
        <v>123</v>
      </c>
    </row>
    <row r="7" spans="1:8" x14ac:dyDescent="0.2">
      <c r="A7" s="1" t="s">
        <v>163</v>
      </c>
      <c r="C7" s="23" t="s">
        <v>164</v>
      </c>
      <c r="F7" s="1" t="s">
        <v>124</v>
      </c>
      <c r="H7" s="23" t="s">
        <v>125</v>
      </c>
    </row>
    <row r="8" spans="1:8" x14ac:dyDescent="0.2">
      <c r="A8" s="1" t="s">
        <v>165</v>
      </c>
      <c r="C8" s="23">
        <v>1</v>
      </c>
      <c r="F8" s="1" t="s">
        <v>171</v>
      </c>
      <c r="H8" s="23" t="s">
        <v>172</v>
      </c>
    </row>
    <row r="11" spans="1:8" ht="19" x14ac:dyDescent="0.25">
      <c r="A11" s="33" t="s">
        <v>166</v>
      </c>
      <c r="F11" s="33" t="s">
        <v>176</v>
      </c>
    </row>
    <row r="13" spans="1:8" x14ac:dyDescent="0.2">
      <c r="A13" s="1" t="s">
        <v>167</v>
      </c>
      <c r="C13" s="31">
        <v>0.1</v>
      </c>
      <c r="F13" s="1" t="s">
        <v>177</v>
      </c>
      <c r="H13" s="23" t="s">
        <v>162</v>
      </c>
    </row>
    <row r="14" spans="1:8" x14ac:dyDescent="0.2">
      <c r="A14" s="1" t="s">
        <v>168</v>
      </c>
      <c r="C14" s="31">
        <v>0.8</v>
      </c>
      <c r="F14" s="1" t="s">
        <v>178</v>
      </c>
      <c r="H14" s="43" t="s">
        <v>179</v>
      </c>
    </row>
    <row r="15" spans="1:8" x14ac:dyDescent="0.2">
      <c r="A15" s="1" t="s">
        <v>169</v>
      </c>
      <c r="C15" s="23">
        <v>3</v>
      </c>
    </row>
    <row r="16" spans="1:8" x14ac:dyDescent="0.2">
      <c r="F16" s="1" t="s">
        <v>180</v>
      </c>
    </row>
    <row r="18" spans="1:6" ht="19" x14ac:dyDescent="0.25">
      <c r="A18" s="33" t="s">
        <v>154</v>
      </c>
    </row>
    <row r="20" spans="1:6" x14ac:dyDescent="0.2">
      <c r="A20" s="1" t="s">
        <v>173</v>
      </c>
      <c r="C20" s="31">
        <v>0.2</v>
      </c>
    </row>
    <row r="21" spans="1:6" x14ac:dyDescent="0.2">
      <c r="A21" s="1" t="s">
        <v>174</v>
      </c>
      <c r="C21" s="23">
        <v>50</v>
      </c>
    </row>
    <row r="22" spans="1:6" x14ac:dyDescent="0.2">
      <c r="A22" s="1" t="s">
        <v>175</v>
      </c>
      <c r="C22" s="42">
        <v>46531</v>
      </c>
    </row>
    <row r="26" spans="1:6" ht="19" x14ac:dyDescent="0.25">
      <c r="A26" s="5" t="s">
        <v>181</v>
      </c>
    </row>
    <row r="28" spans="1:6" x14ac:dyDescent="0.2">
      <c r="A28" s="1" t="s">
        <v>182</v>
      </c>
      <c r="F28" s="3" t="s">
        <v>186</v>
      </c>
    </row>
    <row r="29" spans="1:6" x14ac:dyDescent="0.2">
      <c r="A29" s="1" t="s">
        <v>183</v>
      </c>
      <c r="F29" s="1" t="s">
        <v>187</v>
      </c>
    </row>
    <row r="30" spans="1:6" x14ac:dyDescent="0.2">
      <c r="A30" s="1" t="s">
        <v>184</v>
      </c>
      <c r="F30" s="1" t="s">
        <v>188</v>
      </c>
    </row>
    <row r="31" spans="1:6" x14ac:dyDescent="0.2">
      <c r="A31" s="1" t="s">
        <v>185</v>
      </c>
      <c r="F31" s="1" t="s">
        <v>189</v>
      </c>
    </row>
  </sheetData>
  <mergeCells count="1">
    <mergeCell ref="A1:H2"/>
  </mergeCells>
  <dataValidations count="4">
    <dataValidation type="list" allowBlank="1" showInputMessage="1" showErrorMessage="1" sqref="C6 H8 H13" xr:uid="{1021660D-EA37-314E-B57C-0FC8D088C6F9}">
      <formula1>"Yes,No"</formula1>
    </dataValidation>
    <dataValidation type="list" allowBlank="1" showInputMessage="1" showErrorMessage="1" sqref="C7" xr:uid="{46DA96C7-AE2E-934E-8340-15CF40C674BE}">
      <formula1>"Monday,Tuesday,Wednesday,Thursday,Friday,Saturday,Sunday"</formula1>
    </dataValidation>
    <dataValidation type="whole" allowBlank="1" showInputMessage="1" showErrorMessage="1" sqref="C8" xr:uid="{B5D97478-2318-0F45-ADC3-872854FDE221}">
      <formula1>1</formula1>
      <formula2>28</formula2>
    </dataValidation>
    <dataValidation type="list" allowBlank="1" showInputMessage="1" showErrorMessage="1" sqref="H7" xr:uid="{87A0C458-7D29-EF4B-B418-FC3107F8C868}">
      <formula1>"mm/dd/yyyy,dd/mm/yyyy,yyyy-mm-dd"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Dashboard</vt:lpstr>
      <vt:lpstr>Income Optimizer</vt:lpstr>
      <vt:lpstr>Expense Control</vt:lpstr>
      <vt:lpstr>Wealth Pipeline</vt:lpstr>
      <vt:lpstr>Freedom Timeline</vt:lpstr>
      <vt:lpstr>Decision Optimizer</vt:lpstr>
      <vt:lpstr>Data</vt:lpstr>
      <vt:lpstr>Settings</vt:lpstr>
      <vt:lpstr>FinancialClarityScore_Metric</vt:lpstr>
      <vt:lpstr>FreedomTimeline_Metric</vt:lpstr>
      <vt:lpstr>MoneyFlowEfficiency_Metric</vt:lpstr>
      <vt:lpstr>MonthlyExpenses_Value</vt:lpstr>
      <vt:lpstr>MonthlyIncome_Value</vt:lpstr>
      <vt:lpstr>MonthlySavings_Value</vt:lpstr>
      <vt:lpstr>NetWorth_Value</vt:lpstr>
      <vt:lpstr>SavingsRate_Value</vt:lpstr>
      <vt:lpstr>TotalDebt_Value</vt:lpstr>
      <vt:lpstr>TrueHourlyValue_Metric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Nader ILAHI</dc:creator>
  <cp:lastModifiedBy>Nader ILAHI</cp:lastModifiedBy>
  <dcterms:created xsi:type="dcterms:W3CDTF">2025-05-23T21:57:10Z</dcterms:created>
  <dcterms:modified xsi:type="dcterms:W3CDTF">2025-05-24T08:36:46Z</dcterms:modified>
</cp:coreProperties>
</file>